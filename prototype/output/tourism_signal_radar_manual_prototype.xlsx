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6683ffe29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46a5a5f12844b04"/>
    <x:sheet xmlns:r="http://schemas.openxmlformats.org/officeDocument/2006/relationships" name="Gate Status" sheetId="2" r:id="Rddfcf28676ae46b8"/>
    <x:sheet xmlns:r="http://schemas.openxmlformats.org/officeDocument/2006/relationships" name="Radar" sheetId="3" r:id="R92acc35281e743cf"/>
    <x:sheet xmlns:r="http://schemas.openxmlformats.org/officeDocument/2006/relationships" name="Signals" sheetId="4" r:id="Rc4a53bac8b6c4b89"/>
    <x:sheet xmlns:r="http://schemas.openxmlformats.org/officeDocument/2006/relationships" name="Sources" sheetId="5" r:id="R9a7bfb78df6c4d92"/>
    <x:sheet xmlns:r="http://schemas.openxmlformats.org/officeDocument/2006/relationships" name="Evidence Links" sheetId="6" r:id="R0a52ab16f74749ca"/>
    <x:sheet xmlns:r="http://schemas.openxmlformats.org/officeDocument/2006/relationships" name="Projects" sheetId="7" r:id="R5f9ff1d850964514"/>
    <x:sheet xmlns:r="http://schemas.openxmlformats.org/officeDocument/2006/relationships" name="Project Links" sheetId="8" r:id="R05025ff0a20b4c1a"/>
    <x:sheet xmlns:r="http://schemas.openxmlformats.org/officeDocument/2006/relationships" name="Daily Sessions" sheetId="9" r:id="R77d8f93549284f57"/>
    <x:sheet xmlns:r="http://schemas.openxmlformats.org/officeDocument/2006/relationships" name="Review Log" sheetId="10" r:id="R004d690b3bfc4f16"/>
    <x:sheet xmlns:r="http://schemas.openxmlformats.org/officeDocument/2006/relationships" name="Field Audit" sheetId="11" r:id="R2e30883436c44110"/>
    <x:sheet xmlns:r="http://schemas.openxmlformats.org/officeDocument/2006/relationships" name="Rubrics" sheetId="12" r:id="Rd4bd0edb93a142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47D73"/>
      <x:name val="Carlito"/>
    </x:font>
    <x:font>
      <x:b/>
      <x:sz val="10"/>
      <x:color rgb="FF14213D"/>
      <x:name val="Carlito"/>
    </x:font>
    <x:font>
      <x:b/>
      <x:sz val="11"/>
      <x:color rgb="FF14213D"/>
      <x:name val="Carlito"/>
    </x:font>
    <x:font>
      <x:b/>
      <x:sz val="18"/>
      <x:color rgb="FF172033"/>
      <x:name val="Aptos"/>
    </x:font>
    <x:font>
      <x:b/>
      <x:sz val="11"/>
      <x:color rgb="FF172033"/>
      <x:name val="Aptos"/>
    </x:font>
    <x:font>
      <x:sz val="11"/>
      <x:color rgb="FF172033"/>
      <x:name val="Aptos"/>
    </x:font>
    <x:font>
      <x:b/>
      <x:sz val="10"/>
      <x:color rgb="FF172033"/>
      <x:name val="Aptos"/>
    </x:font>
    <x:font>
      <x:sz val="11"/>
      <x:color rgb="FF172033"/>
      <x:name val="Carlito"/>
    </x:font>
    <x:font>
      <x:i/>
      <x:sz val="11"/>
      <x:color rgb="FF667085"/>
      <x:name val="Carlito"/>
    </x:font>
    <x:font>
      <x:b/>
      <x:sz val="11"/>
      <x:color rgb="FF7A3E00"/>
      <x:name val="Carlito"/>
    </x:font>
    <x:font>
      <x:b/>
      <x:sz val="11"/>
      <x:color rgb="FFA56600"/>
      <x:name val="Carlito"/>
    </x:font>
    <x:font>
      <x:b/>
      <x:sz val="14"/>
      <x:name val="Carlito"/>
    </x:font>
    <x:font>
      <x:sz val="10"/>
      <x:color rgb="FF172033"/>
      <x:name val="Aptos"/>
    </x:font>
    <x:font>
      <x:i/>
      <x:sz val="10"/>
      <x:color rgb="FF172033"/>
      <x:name val="Aptos"/>
    </x:font>
    <x:font>
      <x:b/>
      <x:sz val="18"/>
      <x:color rgb="FFFFFFFF"/>
      <x:name val="Aptos"/>
    </x:font>
    <x:font>
      <x:b/>
      <x:sz val="10"/>
      <x:color rgb="FF14213D"/>
      <x:name val="Aptos"/>
    </x:font>
    <x:font>
      <x:b/>
      <x:sz val="11"/>
      <x:color rgb="FF14213D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E7F5F2"/>
      </x:patternFill>
    </x:fill>
    <x:fill>
      <x:patternFill patternType="solid">
        <x:fgColor rgb="FFD9E2F2"/>
      </x:patternFill>
    </x:fill>
    <x:fill>
      <x:patternFill patternType="solid">
        <x:fgColor rgb="FFE8ECF4"/>
      </x:patternFill>
    </x:fill>
    <x:fill>
      <x:patternFill patternType="solid">
        <x:fgColor rgb="FFFFF4CC"/>
      </x:patternFill>
    </x:fill>
    <x:fill>
      <x:patternFill patternType="solid">
        <x:fgColor rgb="FFF4F6F8"/>
      </x:patternFill>
    </x:fill>
    <x:fill>
      <x:patternFill patternType="solid">
        <x:fgColor rgb="FFFFE3B3"/>
      </x:patternFill>
    </x:fill>
  </x:fills>
  <x:borders count="7">
    <x:border/>
    <x:border>
      <x:right style="thin">
        <x:color rgb="FFAAB7CC"/>
      </x:right>
    </x:border>
    <x:border>
      <x:left style="thin">
        <x:color rgb="FFAAB7CC"/>
      </x:left>
    </x:border>
    <x:border>
      <x:left style="thin">
        <x:color rgb="FFAAB7CC"/>
      </x:left>
      <x:right style="thin">
        <x:color rgb="FFAAB7CC"/>
      </x:right>
    </x:border>
    <x:border>
      <x:left style="medium">
        <x:color rgb="FF14213D"/>
      </x:left>
      <x:top style="medium">
        <x:color rgb="FF14213D"/>
      </x:top>
      <x:bottom style="medium">
        <x:color rgb="FF14213D"/>
      </x:bottom>
    </x:border>
    <x:border>
      <x:top style="medium">
        <x:color rgb="FF14213D"/>
      </x:top>
      <x:bottom style="medium">
        <x:color rgb="FF14213D"/>
      </x:bottom>
    </x:border>
    <x:border>
      <x:right style="medium">
        <x:color rgb="FF14213D"/>
      </x:right>
      <x:top style="medium">
        <x:color rgb="FF14213D"/>
      </x:top>
      <x:bottom style="medium">
        <x:color rgb="FF14213D"/>
      </x:bottom>
    </x:border>
  </x:borders>
  <x:cellStyleXfs count="1">
    <x:xf numFmtId="0" fontId="0" fillId="0" borderId="0"/>
  </x:cellStyleXfs>
  <x:cellXfs count="1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8" fillId="4" borderId="1" xfId="0" applyNumberFormat="1" applyFont="1" applyFill="1" applyBorder="1" applyAlignment="1">
      <x:alignment vertical="top" wrapText="1"/>
    </x:xf>
    <x:xf numFmtId="0" fontId="8" fillId="4" borderId="2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/>
    <x:xf numFmtId="200" fontId="9" fillId="6" borderId="0" xfId="0" applyNumberFormat="1" applyFont="1" applyFill="1" applyBorder="1"/>
    <x:xf numFmtId="200" fontId="9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10" fillId="7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3" fillId="0" borderId="4" xfId="0" applyNumberFormat="1" applyFont="1" applyFill="1" applyBorder="1"/>
    <x:xf numFmtId="0" fontId="13" fillId="0" borderId="5" xfId="0" applyNumberFormat="1" applyFont="1" applyFill="1" applyBorder="1"/>
    <x:xf numFmtId="0" fontId="13" fillId="0" borderId="6" xfId="0" applyNumberFormat="1" applyFont="1" applyFill="1" applyBorder="1"/>
    <x:xf numFmtId="0" fontId="13" fillId="0" borderId="4" xfId="0" applyNumberFormat="1" applyFont="1" applyFill="1" applyBorder="1" applyAlignment="1">
      <x:alignment horizontal="center"/>
    </x:xf>
    <x:xf numFmtId="0" fontId="13" fillId="0" borderId="5" xfId="0" applyNumberFormat="1" applyFont="1" applyFill="1" applyBorder="1" applyAlignment="1">
      <x:alignment horizontal="center"/>
    </x:xf>
    <x:xf numFmtId="0" fontId="13" fillId="0" borderId="6" xfId="0" applyNumberFormat="1" applyFont="1" applyFill="1" applyBorder="1" applyAlignment="1">
      <x:alignment horizontal="center"/>
    </x:xf>
    <x:xf numFmtId="0" fontId="13" fillId="0" borderId="4" xfId="0" applyNumberFormat="1" applyFont="1" applyFill="1" applyBorder="1" applyAlignment="1">
      <x:alignment horizontal="center" vertical="center"/>
    </x:xf>
    <x:xf numFmtId="0" fontId="13" fillId="0" borderId="5" xfId="0" applyNumberFormat="1" applyFont="1" applyFill="1" applyBorder="1" applyAlignment="1">
      <x:alignment horizontal="center" vertical="center"/>
    </x:xf>
    <x:xf numFmtId="0" fontId="13" fillId="0" borderId="6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vertical="top"/>
    </x:xf>
    <x:xf numFmtId="0" fontId="8" fillId="3" borderId="0" xfId="0" applyNumberFormat="1" applyFont="1" applyFill="1" applyBorder="1" applyAlignment="1">
      <x:alignment vertical="top"/>
    </x:xf>
    <x:xf numFmtId="0" fontId="14" fillId="0" borderId="0" xfId="0" applyNumberFormat="1" applyFont="1" applyFill="1" applyBorder="1" applyAlignment="1">
      <x:alignment vertical="top"/>
    </x:xf>
    <x:xf numFmtId="0" fontId="14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4" borderId="3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wrapText="1"/>
    </x:xf>
    <x:xf numFmtId="201" fontId="14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horizontal="center" vertical="center"/>
    </x:xf>
    <x:xf numFmtId="0" fontId="8" fillId="0" borderId="5" xfId="0" applyNumberFormat="1" applyFont="1" applyFill="1" applyBorder="1" applyAlignment="1">
      <x:alignment horizontal="center" vertical="center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vertical="top" wrapText="1"/>
    </x:xf>
    <x:xf numFmtId="0" fontId="8" fillId="4" borderId="3" xfId="0" applyNumberFormat="1" applyFont="1" applyFill="1" applyBorder="1" applyAlignment="1">
      <x:alignment vertical="top" wrapText="1"/>
    </x:xf>
    <x:xf numFmtId="201" fontId="14" fillId="0" borderId="0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horizontal="center" vertical="top"/>
    </x:xf>
    <x:xf numFmtId="0" fontId="8" fillId="0" borderId="5" xfId="0" applyNumberFormat="1" applyFont="1" applyFill="1" applyBorder="1" applyAlignment="1">
      <x:alignment horizontal="center" vertical="top"/>
    </x:xf>
    <x:xf numFmtId="0" fontId="8" fillId="0" borderId="6" xfId="0" applyNumberFormat="1" applyFont="1" applyFill="1" applyBorder="1" applyAlignment="1">
      <x:alignment horizontal="center" vertical="top"/>
    </x:xf>
    <x:xf numFmtId="0" fontId="15" fillId="7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horizontal="center" wrapText="1"/>
    </x:xf>
    <x:xf numFmtId="0" fontId="15" fillId="7" borderId="0" xfId="0" applyNumberFormat="1" applyFont="1" applyFill="1" applyBorder="1" applyAlignment="1">
      <x:alignment horizontal="center"/>
    </x:xf>
    <x:xf numFmtId="0" fontId="15" fillId="7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horizontal="center" vertical="top" wrapText="1"/>
    </x:xf>
    <x:xf numFmtId="0" fontId="8" fillId="3" borderId="0" xfId="0" applyNumberFormat="1" applyFont="1" applyFill="1" applyBorder="1" applyAlignment="1">
      <x:alignment horizontal="center" vertical="top" wrapText="1"/>
    </x:xf>
    <x:xf numFmtId="0" fontId="15" fillId="7" borderId="0" xfId="0" applyNumberFormat="1" applyFont="1" applyFill="1" applyBorder="1" applyAlignment="1">
      <x:alignment horizontal="center" vertical="top"/>
    </x:xf>
    <x:xf numFmtId="200" fontId="14" fillId="0" borderId="0" xfId="0" applyNumberFormat="1" applyFont="1" applyFill="1" applyBorder="1" applyAlignment="1">
      <x:alignment wrapText="1"/>
    </x:xf>
    <x:xf numFmtId="200" fontId="14" fillId="6" borderId="0" xfId="0" applyNumberFormat="1" applyFont="1" applyFill="1" applyBorder="1" applyAlignment="1">
      <x:alignment wrapText="1"/>
    </x:xf>
    <x:xf numFmtId="0" fontId="14" fillId="6" borderId="0" xfId="0" applyNumberFormat="1" applyFont="1" applyFill="1" applyBorder="1" applyAlignment="1">
      <x:alignment wrapText="1"/>
    </x:xf>
    <x:xf numFmtId="200" fontId="14" fillId="0" borderId="0" xfId="0" applyNumberFormat="1" applyFont="1" applyFill="1" applyBorder="1"/>
    <x:xf numFmtId="200" fontId="14" fillId="0" borderId="0" xfId="0" applyNumberFormat="1" applyFont="1" applyFill="1" applyBorder="1" applyAlignment="1">
      <x:alignment vertical="top" wrapText="1"/>
    </x:xf>
    <x:xf numFmtId="200" fontId="14" fillId="6" borderId="0" xfId="0" applyNumberFormat="1" applyFont="1" applyFill="1" applyBorder="1" applyAlignment="1">
      <x:alignment vertical="top" wrapText="1"/>
    </x:xf>
    <x:xf numFmtId="0" fontId="14" fillId="6" borderId="0" xfId="0" applyNumberFormat="1" applyFont="1" applyFill="1" applyBorder="1" applyAlignment="1">
      <x:alignment vertical="top" wrapText="1"/>
    </x:xf>
    <x:xf numFmtId="200" fontId="14" fillId="0" borderId="0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 applyAlignment="1">
      <x:alignment vertical="top"/>
    </x:xf>
    <x:xf numFmtId="0" fontId="16" fillId="2" borderId="0" xfId="0" applyNumberFormat="1" applyFont="1" applyFill="1" applyBorder="1" applyAlignment="1">
      <x:alignment vertical="center"/>
    </x:xf>
    <x:xf numFmtId="0" fontId="16" fillId="2" borderId="0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 applyAlignment="1">
      <x:alignment vertical="center" wrapText="1"/>
    </x:xf>
    <x:xf numFmtId="0" fontId="17" fillId="4" borderId="1" xfId="0" applyNumberFormat="1" applyFont="1" applyFill="1" applyBorder="1" applyAlignment="1">
      <x:alignment vertical="top" wrapText="1"/>
    </x:xf>
    <x:xf numFmtId="0" fontId="17" fillId="4" borderId="2" xfId="0" applyNumberFormat="1" applyFont="1" applyFill="1" applyBorder="1" applyAlignment="1">
      <x:alignment vertical="top" wrapText="1"/>
    </x:xf>
    <x:xf numFmtId="0" fontId="17" fillId="4" borderId="1" xfId="0" applyNumberFormat="1" applyFont="1" applyFill="1" applyBorder="1" applyAlignment="1">
      <x:alignment vertical="center" wrapText="1"/>
    </x:xf>
    <x:xf numFmtId="0" fontId="17" fillId="4" borderId="2" xfId="0" applyNumberFormat="1" applyFont="1" applyFill="1" applyBorder="1" applyAlignment="1">
      <x:alignment vertical="center" wrapText="1"/>
    </x:xf>
    <x:xf numFmtId="0" fontId="17" fillId="4" borderId="3" xfId="0" applyNumberFormat="1" applyFont="1" applyFill="1" applyBorder="1" applyAlignment="1">
      <x:alignment vertical="top" wrapText="1"/>
    </x:xf>
    <x:xf numFmtId="0" fontId="17" fillId="4" borderId="3" xfId="0" applyNumberFormat="1" applyFont="1" applyFill="1" applyBorder="1" applyAlignment="1">
      <x:alignment vertical="center" wrapText="1"/>
    </x:xf>
    <x:xf numFmtId="0" fontId="18" fillId="5" borderId="0" xfId="0" applyNumberFormat="1" applyFont="1" applyFill="1" applyBorder="1" applyAlignment="1">
      <x:alignment vertical="top" wrapText="1"/>
    </x:xf>
    <x:xf numFmtId="0" fontId="18" fillId="5" borderId="0" xfId="0" applyNumberFormat="1" applyFont="1" applyFill="1" applyBorder="1" applyAlignment="1">
      <x:alignment vertical="top"/>
    </x:xf>
    <x:xf numFmtId="0" fontId="18" fillId="5" borderId="0" xfId="0" applyNumberFormat="1" applyFont="1" applyFill="1" applyBorder="1" applyAlignment="1">
      <x:alignment vertical="center" wrapText="1"/>
    </x:xf>
    <x:xf numFmtId="0" fontId="18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5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3E00"/>
      </x:font>
      <x:fill>
        <x:patternFill patternType="solid">
          <x:bgColor rgb="FFFFE3B3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17A4A"/>
      </x:font>
      <x:fill>
        <x:patternFill patternType="solid">
          <x:bgColor rgb="FFE8F5E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A56600"/>
      </x:font>
      <x:fill>
        <x:patternFill patternType="solid">
          <x:bgColor rgb="FFFFF4CC"/>
        </x:patternFill>
      </x:fill>
    </x:dxf>
    <x:dxf>
      <x:font>
        <x:b/>
        <x:color rgb="FFA56600"/>
      </x:font>
      <x:fill>
        <x:patternFill patternType="solid">
          <x:bgColor rgb="FFFFF4CC"/>
        </x:patternFill>
      </x:fill>
    </x:dxf>
    <x:dxf>
      <x:font>
        <x:b/>
        <x:color rgb="FF217A4A"/>
      </x:font>
      <x:fill>
        <x:patternFill patternType="solid">
          <x:bgColor rgb="FFE8F5E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A56600"/>
      </x:font>
      <x:fill>
        <x:patternFill patternType="solid">
          <x:bgColor rgb="FFFFF4CC"/>
        </x:patternFill>
      </x:fill>
    </x:dxf>
    <x:dxf>
      <x:font>
        <x:b/>
        <x:color rgb="FFA56600"/>
      </x:font>
      <x:fill>
        <x:patternFill patternType="solid">
          <x:bgColor rgb="FFFFF4CC"/>
        </x:patternFill>
      </x:fill>
    </x:dxf>
    <x:dxf>
      <x:font>
        <x:b/>
        <x:color rgb="FF217A4A"/>
      </x:font>
      <x:fill>
        <x:patternFill patternType="solid">
          <x:bgColor rgb="FFE8F5E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A56600"/>
      </x:font>
      <x:fill>
        <x:patternFill patternType="solid">
          <x:bgColor rgb="FFFFF4CC"/>
        </x:patternFill>
      </x:fill>
    </x:dxf>
    <x:dxf>
      <x:font>
        <x:b/>
        <x:color rgb="FFA566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7532f91004f1b" /><Relationship Type="http://schemas.openxmlformats.org/officeDocument/2006/relationships/theme" Target="/xl/theme/theme1.xml" Id="R882ffa71daab4f9a" /><Relationship Type="http://schemas.openxmlformats.org/officeDocument/2006/relationships/sharedStrings" Target="/xl/sharedStrings.xml" Id="R9db29c250c354464" /><Relationship Type="http://schemas.openxmlformats.org/officeDocument/2006/relationships/worksheet" Target="/xl/worksheets/sheet1.xml" Id="Re46a5a5f12844b04" /><Relationship Type="http://schemas.openxmlformats.org/officeDocument/2006/relationships/worksheet" Target="/xl/worksheets/sheet2.xml" Id="Rddfcf28676ae46b8" /><Relationship Type="http://schemas.openxmlformats.org/officeDocument/2006/relationships/worksheet" Target="/xl/worksheets/sheet3.xml" Id="R92acc35281e743cf" /><Relationship Type="http://schemas.openxmlformats.org/officeDocument/2006/relationships/worksheet" Target="/xl/worksheets/sheet4.xml" Id="Rc4a53bac8b6c4b89" /><Relationship Type="http://schemas.openxmlformats.org/officeDocument/2006/relationships/worksheet" Target="/xl/worksheets/sheet5.xml" Id="R9a7bfb78df6c4d92" /><Relationship Type="http://schemas.openxmlformats.org/officeDocument/2006/relationships/worksheet" Target="/xl/worksheets/sheet6.xml" Id="R0a52ab16f74749ca" /><Relationship Type="http://schemas.openxmlformats.org/officeDocument/2006/relationships/worksheet" Target="/xl/worksheets/sheet7.xml" Id="R5f9ff1d850964514" /><Relationship Type="http://schemas.openxmlformats.org/officeDocument/2006/relationships/worksheet" Target="/xl/worksheets/sheet8.xml" Id="R05025ff0a20b4c1a" /><Relationship Type="http://schemas.openxmlformats.org/officeDocument/2006/relationships/worksheet" Target="/xl/worksheets/sheet9.xml" Id="R77d8f93549284f57" /><Relationship Type="http://schemas.openxmlformats.org/officeDocument/2006/relationships/worksheet" Target="/xl/worksheets/sheet10.xml" Id="R004d690b3bfc4f16" /><Relationship Type="http://schemas.openxmlformats.org/officeDocument/2006/relationships/worksheet" Target="/xl/worksheets/sheet11.xml" Id="R2e30883436c44110" /><Relationship Type="http://schemas.openxmlformats.org/officeDocument/2006/relationships/worksheet" Target="/xl/worksheets/sheet12.xml" Id="Rd4bd0edb93a14233" /></Relationships>
</file>

<file path=xl/tables/table1.xml><?xml version="1.0" encoding="utf-8"?>
<x:table xmlns:x="http://schemas.openxmlformats.org/spreadsheetml/2006/main" id="6" name="RadarTable" displayName="RadarTable" ref="A5:H15" headerRowCount="1" totalsRowCount="0" totalsRowShown="0">
  <x:tableColumns count="8">
    <x:tableColumn id="1" name="Order"/>
    <x:tableColumn id="2" name="Priority"/>
    <x:tableColumn id="3" name="Signal ID"/>
    <x:tableColumn id="4" name="Signal"/>
    <x:tableColumn id="5" name="Evidence"/>
    <x:tableColumn id="6" name="Projects"/>
    <x:tableColumn id="7" name="Disposition"/>
    <x:tableColumn id="8" name="THE MOVE / next trigg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SignalsTable" displayName="SignalsTable" ref="A1:AD16" headerRowCount="1" totalsRowCount="0" totalsRowShown="0">
  <x:tableColumns count="30">
    <x:tableColumn id="1" name="Signal ID"/>
    <x:tableColumn id="2" name="Domain"/>
    <x:tableColumn id="3" name="Detected"/>
    <x:tableColumn id="4" name="Evidence as-of"/>
    <x:tableColumn id="5" name="Title"/>
    <x:tableColumn id="6" name="Claim / what changed"/>
    <x:tableColumn id="7" name="Why it matters"/>
    <x:tableColumn id="8" name="Evidence quality"/>
    <x:tableColumn id="9" name="Evidence rationale"/>
    <x:tableColumn id="10" name="Priority"/>
    <x:tableColumn id="11" name="Priority rationale"/>
    <x:tableColumn id="12" name="Disposition"/>
    <x:tableColumn id="13" name="Workflow"/>
    <x:tableColumn id="14" name="THE MOVE"/>
    <x:tableColumn id="15" name="Review trigger"/>
    <x:tableColumn id="16" name="Move state"/>
    <x:tableColumn id="17" name="Actionable?"/>
    <x:tableColumn id="18" name="Source count"/>
    <x:tableColumn id="19" name="Supports"/>
    <x:tableColumn id="20" name="Contradicts"/>
    <x:tableColumn id="21" name="Context"/>
    <x:tableColumn id="22" name="Added to Radar"/>
    <x:tableColumn id="23" name="Reviewed date"/>
    <x:tableColumn id="24" name="P1 reviewed ≤1 day?"/>
    <x:tableColumn id="25" name="Later background?"/>
    <x:tableColumn id="26" name="Move useful (1–5)"/>
    <x:tableColumn id="27" name="Outcome"/>
    <x:tableColumn id="28" name="Outcome note"/>
    <x:tableColumn id="29" name="Reviewer notes"/>
    <x:tableColumn id="30" name="Human confirm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SourcesTable" displayName="SourcesTable" ref="A1:J32" headerRowCount="1" totalsRowCount="0" totalsRowShown="0">
  <x:tableColumns count="10">
    <x:tableColumn id="1" name="Source ID"/>
    <x:tableColumn id="2" name="Title"/>
    <x:tableColumn id="3" name="Source type"/>
    <x:tableColumn id="4" name="Publisher"/>
    <x:tableColumn id="5" name="Publication date"/>
    <x:tableColumn id="6" name="URL / identifier"/>
    <x:tableColumn id="7" name="Origin"/>
    <x:tableColumn id="8" name="Peer reviewed?"/>
    <x:tableColumn id="9" name="Method transparency"/>
    <x:tableColumn id="10" name="Evidence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EvidenceLinksTable" displayName="EvidenceLinksTable" ref="A1:E33" headerRowCount="1" totalsRowCount="0" totalsRowShown="0">
  <x:tableColumns count="5">
    <x:tableColumn id="1" name="Signal ID"/>
    <x:tableColumn id="2" name="Source ID"/>
    <x:tableColumn id="3" name="Relationship"/>
    <x:tableColumn id="4" name="Scope match"/>
    <x:tableColumn id="5" name="Evidence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ProjectsTable" displayName="ProjectsTable" ref="A1:F5" headerRowCount="1" totalsRowCount="0" totalsRowShown="0">
  <x:tableColumns count="6">
    <x:tableColumn id="1" name="Project ID"/>
    <x:tableColumn id="2" name="Name"/>
    <x:tableColumn id="3" name="Description"/>
    <x:tableColumn id="4" name="Decision question"/>
    <x:tableColumn id="5" name="Domains"/>
    <x:tableColumn id="6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ProjectLinksTable" displayName="ProjectLinksTable" ref="A1:F29" headerRowCount="1" totalsRowCount="0" totalsRowShown="0">
  <x:tableColumns count="6">
    <x:tableColumn id="1" name="Signal ID"/>
    <x:tableColumn id="2" name="Project ID"/>
    <x:tableColumn id="3" name="Relevance reason"/>
    <x:tableColumn id="4" name="Possible implication"/>
    <x:tableColumn id="5" name="Attention"/>
    <x:tableColumn id="6" name="Confirmed by user?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ilySessionsTable" displayName="DailySessionsTable" ref="A1:K11" headerRowCount="1" totalsRowCount="0" totalsRowShown="0">
  <x:tableColumns count="11">
    <x:tableColumn id="1" name="Date"/>
    <x:tableColumn id="2" name="Day"/>
    <x:tableColumn id="3" name="Opened?"/>
    <x:tableColumn id="4" name="Voluntary?"/>
    <x:tableColumn id="5" name="Session minutes"/>
    <x:tableColumn id="6" name="Signals reviewed"/>
    <x:tableColumn id="7" name="Decision changed/confirmed?"/>
    <x:tableColumn id="8" name="Decision note"/>
    <x:tableColumn id="9" name="Traceability check seconds"/>
    <x:tableColumn id="10" name="Session notes"/>
    <x:tableColumn id="11" name="Signal/Source distinction useful?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viewLogTable" displayName="ReviewLogTable" ref="A1:J16" headerRowCount="1" totalsRowCount="0" totalsRowShown="0">
  <x:tableColumns count="10">
    <x:tableColumn id="1" name="Planned date"/>
    <x:tableColumn id="2" name="Signal ID"/>
    <x:tableColumn id="3" name="Source capture min"/>
    <x:tableColumn id="4" name="Signal review min"/>
    <x:tableColumn id="5" name="Evidence rationale explained correctly?"/>
    <x:tableColumn id="6" name="Priority useful?"/>
    <x:tableColumn id="7" name="Field friction / ignored fields"/>
    <x:tableColumn id="8" name="Move handling"/>
    <x:tableColumn id="9" name="Notes / observed confusion"/>
    <x:tableColumn id="10" name="Week-2 review min (formula)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eldAuditTable" displayName="FieldAuditTable" ref="A1:G11" headerRowCount="1" totalsRowCount="0" totalsRowShown="0">
  <x:tableColumns count="7">
    <x:tableColumn id="1" name="Required field"/>
    <x:tableColumn id="2" name="Times exposed"/>
    <x:tableColumn id="3" name="Times skipped"/>
    <x:tableColumn id="4" name="Times judged redundant"/>
    <x:tableColumn id="5" name="Worst friction rate"/>
    <x:tableColumn id="6" name="Threshold status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740cc3f008848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9b632d1a69545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b0d2d940c7b40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e00b146c1c94d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e3a4fd06d304d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f52dd2fa0d04f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6f2729edbee435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b72798a18d74d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3c9fa6a5f947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115" t="str">
        <x:v>Tourism Signal Radar — 10-working-day manual prototype</x:v>
      </x:c>
      <x:c r="B1" s="115"/>
      <x:c r="C1" s="115"/>
      <x:c r="D1" s="115"/>
      <x:c r="E1" s="115"/>
      <x:c r="F1" s="115"/>
      <x:c r="G1" s="115"/>
      <x:c r="H1" s="115"/>
    </x:row>
    <x:row r="2">
      <x:c r="A2" s="115"/>
      <x:c r="B2" s="115"/>
      <x:c r="C2" s="115"/>
      <x:c r="D2" s="115"/>
      <x:c r="E2" s="115"/>
      <x:c r="F2" s="115"/>
      <x:c r="G2" s="115"/>
      <x:c r="H2" s="115"/>
    </x:row>
    <x:row r="3" ht="15" hidden="0" customHeight="1">
      <x:c r="A3" s="74" t="str">
        <x:v>ACTIVE TEST · 24 August–4 September 2026 · Documentation and workbook only</x:v>
      </x:c>
      <x:c r="B3" s="74"/>
      <x:c r="C3" s="74"/>
      <x:c r="D3" s="74"/>
      <x:c r="E3" s="74"/>
      <x:c r="F3" s="74"/>
      <x:c r="G3" s="74"/>
      <x:c r="H3" s="74"/>
    </x:row>
    <x:row r="4" ht="15" hidden="0" customHeight="1">
      <x:c r="A4" s="75"/>
      <x:c r="B4" s="75"/>
      <x:c r="C4" s="75"/>
      <x:c r="D4" s="75"/>
      <x:c r="E4" s="75"/>
      <x:c r="F4" s="75"/>
      <x:c r="G4" s="75"/>
      <x:c r="H4" s="75"/>
    </x:row>
    <x:row r="5" ht="15" hidden="0" customHeight="1">
      <x:c r="A5" s="120" t="str">
        <x:v>Test property</x:v>
      </x:c>
      <x:c r="B5" s="121" t="str">
        <x:v>Value</x:v>
      </x:c>
      <x:c r="C5" s="75"/>
      <x:c r="D5" s="75"/>
      <x:c r="E5" s="75"/>
      <x:c r="F5" s="75"/>
      <x:c r="G5" s="75"/>
      <x:c r="H5" s="75"/>
    </x:row>
    <x:row r="6" ht="15" hidden="0" customHeight="1">
      <x:c r="A6" s="76" t="str">
        <x:v>Corpus</x:v>
      </x:c>
      <x:c r="B6" s="76" t="str">
        <x:v>15 real cross-domain Signals; 31 traceable Sources</x:v>
      </x:c>
      <x:c r="C6" s="75"/>
      <x:c r="D6" s="75"/>
      <x:c r="E6" s="75"/>
      <x:c r="F6" s="75"/>
      <x:c r="G6" s="75"/>
      <x:c r="H6" s="75"/>
    </x:row>
    <x:row r="7" ht="26.399999618530273" hidden="0" customHeight="1">
      <x:c r="A7" s="76" t="str">
        <x:v>Domains</x:v>
      </x:c>
      <x:c r="B7" s="76" t="str">
        <x:v>AI, Remote Sensing, Governance, Tourism Technology, Mobility, Accessibility, Protected Areas, Climate, Wildfire, Water, Tourism Data, Data Governance</x:v>
      </x:c>
      <x:c r="C7" s="75"/>
      <x:c r="D7" s="75"/>
      <x:c r="E7" s="75"/>
      <x:c r="F7" s="75"/>
      <x:c r="G7" s="75"/>
      <x:c r="H7" s="75"/>
    </x:row>
    <x:row r="8" ht="26.399999618530273" hidden="0" customHeight="1">
      <x:c r="A8" s="76" t="str">
        <x:v>Stress cases</x:v>
      </x:c>
      <x:c r="B8" s="76" t="str">
        <x:v>Multi-source synthesis; contradictory evidence; urgent-low-certainty boundaries; multi-project relevance; two background/no-immediate-move Signals</x:v>
      </x:c>
      <x:c r="C8" s="75"/>
      <x:c r="D8" s="75"/>
      <x:c r="E8" s="75"/>
      <x:c r="F8" s="75"/>
      <x:c r="G8" s="75"/>
      <x:c r="H8" s="75"/>
    </x:row>
    <x:row r="9" ht="15" hidden="0" customHeight="1">
      <x:c r="A9" s="76" t="str">
        <x:v>User-entered cells</x:v>
      </x:c>
      <x:c r="B9" s="76" t="str">
        <x:v>Pale yellow cells only</x:v>
      </x:c>
      <x:c r="C9" s="75"/>
      <x:c r="D9" s="75"/>
      <x:c r="E9" s="75"/>
      <x:c r="F9" s="75"/>
      <x:c r="G9" s="75"/>
      <x:c r="H9" s="75"/>
    </x:row>
    <x:row r="10" ht="15" hidden="0" customHeight="1">
      <x:c r="A10" s="76" t="str">
        <x:v>Current decision</x:v>
      </x:c>
      <x:c r="B10" s="76" t="str">
        <x:v>VALIDATE BEFORE BUILD — outcome thresholds are not yet observable</x:v>
      </x:c>
      <x:c r="C10" s="75"/>
      <x:c r="D10" s="75"/>
      <x:c r="E10" s="75"/>
      <x:c r="F10" s="75"/>
      <x:c r="G10" s="75"/>
      <x:c r="H10" s="75"/>
    </x:row>
    <x:row r="11" ht="15" hidden="0" customHeight="1">
      <x:c r="A11" s="76" t="str">
        <x:v>Authority</x:v>
      </x:c>
      <x:c r="B11" s="76" t="str">
        <x:v>Source fact ≠ interpretation ≠ recommendation ≠ human decision</x:v>
      </x:c>
      <x:c r="C11" s="75"/>
      <x:c r="D11" s="75"/>
      <x:c r="E11" s="75"/>
      <x:c r="F11" s="75"/>
      <x:c r="G11" s="75"/>
      <x:c r="H11" s="75"/>
    </x:row>
    <x:row r="12" ht="26.399999618530273" hidden="0" customHeight="1">
      <x:c r="A12" s="76" t="str">
        <x:v>No fabrication rule</x:v>
      </x:c>
      <x:c r="B12" s="76" t="str">
        <x:v>Do not backfill opens, ratings, timings or outcomes from memory. All seeded judgments are Codex drafts until Human confirmation = CONFIRMED.</x:v>
      </x:c>
      <x:c r="C12" s="75"/>
      <x:c r="D12" s="75"/>
      <x:c r="E12" s="75"/>
      <x:c r="F12" s="75"/>
      <x:c r="G12" s="75"/>
      <x:c r="H12" s="75"/>
    </x:row>
    <x:row r="13" ht="15" hidden="0" customHeight="1">
      <x:c r="A13" s="76"/>
      <x:c r="B13" s="76"/>
      <x:c r="C13" s="75"/>
      <x:c r="D13" s="75"/>
      <x:c r="E13" s="75"/>
      <x:c r="F13" s="75"/>
      <x:c r="G13" s="75"/>
      <x:c r="H13" s="75"/>
    </x:row>
    <x:row r="14" ht="15" hidden="0" customHeight="1">
      <x:c r="A14" s="126" t="str">
        <x:v>Daily procedure (10–15 minutes)</x:v>
      </x:c>
      <x:c r="B14" s="126"/>
      <x:c r="C14" s="127"/>
      <x:c r="D14" s="127"/>
      <x:c r="E14" s="127"/>
      <x:c r="F14" s="127"/>
      <x:c r="G14" s="127"/>
      <x:c r="H14" s="127"/>
    </x:row>
    <x:row r="15" ht="15" hidden="0" customHeight="1">
      <x:c r="A15" s="76" t="str">
        <x:v>1. Open Radar and review only the finite queue; do not browse Sources chronologically.</x:v>
      </x:c>
      <x:c r="B15" s="76"/>
      <x:c r="C15" s="75"/>
      <x:c r="D15" s="75"/>
      <x:c r="E15" s="75"/>
      <x:c r="F15" s="75"/>
      <x:c r="G15" s="75"/>
      <x:c r="H15" s="75"/>
    </x:row>
    <x:row r="16" ht="15" hidden="0" customHeight="1">
      <x:c r="A16" s="76" t="str">
        <x:v>2. Choose one or two Signals. Inspect claim, project reason, evidence rationale and contradictions.</x:v>
      </x:c>
      <x:c r="B16" s="76"/>
      <x:c r="C16" s="75"/>
      <x:c r="D16" s="75"/>
      <x:c r="E16" s="75"/>
      <x:c r="F16" s="75"/>
      <x:c r="G16" s="75"/>
      <x:c r="H16" s="75"/>
    </x:row>
    <x:row r="17" ht="15" hidden="0" customHeight="1">
      <x:c r="A17" s="76" t="str">
        <x:v>3. Record actual time and comprehension in Review Log. Blank is better than guessed.</x:v>
      </x:c>
      <x:c r="B17" s="76"/>
      <x:c r="C17" s="75"/>
      <x:c r="D17" s="75"/>
      <x:c r="E17" s="75"/>
      <x:c r="F17" s="75"/>
      <x:c r="G17" s="75"/>
      <x:c r="H17" s="75"/>
    </x:row>
    <x:row r="18" ht="15" hidden="0" customHeight="1">
      <x:c r="A18" s="76" t="str">
        <x:v>4. Confirm, edit, schedule, execute or reject THE MOVE; record rating/outcome in Signals.</x:v>
      </x:c>
      <x:c r="B18" s="76"/>
      <x:c r="C18" s="75"/>
      <x:c r="D18" s="75"/>
      <x:c r="E18" s="75"/>
      <x:c r="F18" s="75"/>
      <x:c r="G18" s="75"/>
      <x:c r="H18" s="75"/>
    </x:row>
    <x:row r="19" ht="15" hidden="0" customHeight="1">
      <x:c r="A19" s="76" t="str">
        <x:v>5. Complete one row in Daily Sessions. Mark Voluntary = YES only if no reminder caused the open.</x:v>
      </x:c>
      <x:c r="B19" s="76"/>
      <x:c r="C19" s="75"/>
      <x:c r="D19" s="75"/>
      <x:c r="E19" s="75"/>
      <x:c r="F19" s="75"/>
      <x:c r="G19" s="75"/>
      <x:c r="H19" s="75"/>
    </x:row>
    <x:row r="20" ht="15" hidden="0" customHeight="1">
      <x:c r="A20" s="76" t="str">
        <x:v>6. On Days 5 and 10, answer whether Signal and Source are genuinely distinct and audit field friction.</x:v>
      </x:c>
      <x:c r="B20" s="76"/>
      <x:c r="C20" s="75"/>
      <x:c r="D20" s="75"/>
      <x:c r="E20" s="75"/>
      <x:c r="F20" s="75"/>
      <x:c r="G20" s="75"/>
      <x:c r="H20" s="75"/>
    </x:row>
    <x:row r="21" ht="15" hidden="0" customHeight="1">
      <x:c r="A21" s="76" t="str">
        <x:v>7. Read Gate Status. Do not reinterpret a failing threshold after seeing the result.</x:v>
      </x:c>
      <x:c r="B21" s="76"/>
      <x:c r="C21" s="75"/>
      <x:c r="D21" s="75"/>
      <x:c r="E21" s="75"/>
      <x:c r="F21" s="75"/>
      <x:c r="G21" s="75"/>
      <x:c r="H21" s="75"/>
    </x:row>
    <x:row r="22" ht="15" hidden="0" customHeight="1">
      <x:c r="A22" s="76"/>
      <x:c r="B22" s="76"/>
      <x:c r="C22" s="75"/>
      <x:c r="D22" s="75"/>
      <x:c r="E22" s="75"/>
      <x:c r="F22" s="75"/>
      <x:c r="G22" s="75"/>
      <x:c r="H22" s="75"/>
    </x:row>
    <x:row r="23" ht="15" hidden="0" customHeight="1">
      <x:c r="A23" s="126" t="str">
        <x:v>Sheet map</x:v>
      </x:c>
      <x:c r="B23" s="126"/>
      <x:c r="C23" s="127"/>
      <x:c r="D23" s="127"/>
      <x:c r="E23" s="127"/>
      <x:c r="F23" s="127"/>
      <x:c r="G23" s="127"/>
      <x:c r="H23" s="127"/>
    </x:row>
    <x:row r="24" ht="15" hidden="0" customHeight="1">
      <x:c r="A24" s="76" t="str">
        <x:v>Gate Status</x:v>
      </x:c>
      <x:c r="B24" s="76" t="str">
        <x:v>Formula-driven go/kill thresholds and current verdict</x:v>
      </x:c>
      <x:c r="C24" s="75"/>
      <x:c r="D24" s="75"/>
      <x:c r="E24" s="75"/>
      <x:c r="F24" s="75"/>
      <x:c r="G24" s="75"/>
      <x:c r="H24" s="75"/>
    </x:row>
    <x:row r="25" ht="15" hidden="0" customHeight="1">
      <x:c r="A25" s="76" t="str">
        <x:v>Radar</x:v>
      </x:c>
      <x:c r="B25" s="76" t="str">
        <x:v>Finite Day-1 review queue</x:v>
      </x:c>
      <x:c r="C25" s="75"/>
      <x:c r="D25" s="75"/>
      <x:c r="E25" s="75"/>
      <x:c r="F25" s="75"/>
      <x:c r="G25" s="75"/>
      <x:c r="H25" s="75"/>
    </x:row>
    <x:row r="26" ht="15" hidden="0" customHeight="1">
      <x:c r="A26" s="76" t="str">
        <x:v>Signals</x:v>
      </x:c>
      <x:c r="B26" s="76" t="str">
        <x:v>Interpretations, decisions, THE MOVE and user outcomes</x:v>
      </x:c>
      <x:c r="C26" s="75"/>
      <x:c r="D26" s="75"/>
      <x:c r="E26" s="75"/>
      <x:c r="F26" s="75"/>
      <x:c r="G26" s="75"/>
      <x:c r="H26" s="75"/>
    </x:row>
    <x:row r="27" ht="15" hidden="0" customHeight="1">
      <x:c r="A27" s="76" t="str">
        <x:v>Sources</x:v>
      </x:c>
      <x:c r="B27" s="76" t="str">
        <x:v>Retrievable evidence with URLs</x:v>
      </x:c>
      <x:c r="C27" s="75"/>
      <x:c r="D27" s="75"/>
      <x:c r="E27" s="75"/>
      <x:c r="F27" s="75"/>
      <x:c r="G27" s="75"/>
      <x:c r="H27" s="75"/>
    </x:row>
    <x:row r="28" ht="15" hidden="0" customHeight="1">
      <x:c r="A28" s="76" t="str">
        <x:v>Evidence Links</x:v>
      </x:c>
      <x:c r="B28" s="76" t="str">
        <x:v>Supports / Contradicts / Contextualizes relationships</x:v>
      </x:c>
      <x:c r="C28" s="75"/>
      <x:c r="D28" s="75"/>
      <x:c r="E28" s="75"/>
      <x:c r="F28" s="75"/>
      <x:c r="G28" s="75"/>
      <x:c r="H28" s="75"/>
    </x:row>
    <x:row r="29" ht="15" hidden="0" customHeight="1">
      <x:c r="A29" s="76" t="str">
        <x:v>Projects</x:v>
      </x:c>
      <x:c r="B29" s="76" t="str">
        <x:v>Editable project contexts</x:v>
      </x:c>
      <x:c r="C29" s="75"/>
      <x:c r="D29" s="75"/>
      <x:c r="E29" s="75"/>
      <x:c r="F29" s="75"/>
      <x:c r="G29" s="75"/>
      <x:c r="H29" s="75"/>
    </x:row>
    <x:row r="30" ht="15" hidden="0" customHeight="1">
      <x:c r="A30" s="76" t="str">
        <x:v>Project Links</x:v>
      </x:c>
      <x:c r="B30" s="76" t="str">
        <x:v>Signal-to-project reasons and implications</x:v>
      </x:c>
      <x:c r="C30" s="75"/>
      <x:c r="D30" s="75"/>
      <x:c r="E30" s="75"/>
      <x:c r="F30" s="75"/>
      <x:c r="G30" s="75"/>
      <x:c r="H30" s="75"/>
    </x:row>
    <x:row r="31" ht="15" hidden="0" customHeight="1">
      <x:c r="A31" s="76" t="str">
        <x:v>Daily Sessions</x:v>
      </x:c>
      <x:c r="B31" s="76" t="str">
        <x:v>Return behavior and daily decision effect</x:v>
      </x:c>
      <x:c r="C31" s="75"/>
      <x:c r="D31" s="75"/>
      <x:c r="E31" s="75"/>
      <x:c r="F31" s="75"/>
      <x:c r="G31" s="75"/>
      <x:c r="H31" s="75"/>
    </x:row>
    <x:row r="32" ht="15" hidden="0" customHeight="1">
      <x:c r="A32" s="76" t="str">
        <x:v>Review Log</x:v>
      </x:c>
      <x:c r="B32" s="76" t="str">
        <x:v>Actual time, comprehension and friction</x:v>
      </x:c>
      <x:c r="C32" s="75"/>
      <x:c r="D32" s="75"/>
      <x:c r="E32" s="75"/>
      <x:c r="F32" s="75"/>
      <x:c r="G32" s="75"/>
      <x:c r="H32" s="75"/>
    </x:row>
    <x:row r="33" ht="15" hidden="0" customHeight="1">
      <x:c r="A33" s="76" t="str">
        <x:v>Field Audit</x:v>
      </x:c>
      <x:c r="B33" s="76" t="str">
        <x:v>Skipped/redundant-field bureaucracy test</x:v>
      </x:c>
      <x:c r="C33" s="75"/>
      <x:c r="D33" s="75"/>
      <x:c r="E33" s="75"/>
      <x:c r="F33" s="75"/>
      <x:c r="G33" s="75"/>
      <x:c r="H33" s="75"/>
    </x:row>
    <x:row r="34" ht="15" hidden="0" customHeight="1">
      <x:c r="A34" s="76" t="str">
        <x:v>Rubrics</x:v>
      </x:c>
      <x:c r="B34" s="76" t="str">
        <x:v>Visible evidence, priority, disposition and Move rules</x:v>
      </x:c>
      <x:c r="C34" s="75"/>
      <x:c r="D34" s="75"/>
      <x:c r="E34" s="75"/>
      <x:c r="F34" s="75"/>
      <x:c r="G34" s="75"/>
      <x:c r="H34" s="75"/>
    </x:row>
  </x:sheetData>
  <x:mergeCells>
    <x:mergeCell ref="A1:H2"/>
    <x:mergeCell ref="A3:H3"/>
    <x:mergeCell ref="A14:H14"/>
    <x:mergeCell ref="A15:H15"/>
    <x:mergeCell ref="A16:H16"/>
    <x:mergeCell ref="A17:H17"/>
    <x:mergeCell ref="A18:H18"/>
    <x:mergeCell ref="A19:H19"/>
    <x:mergeCell ref="A20:H20"/>
    <x:mergeCell ref="A21:H21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42" hidden="0" customWidth="1"/>
    <x:col min="4" max="4" width="22" hidden="0" customWidth="1"/>
    <x:col min="5" max="5" width="54" hidden="0" customWidth="1"/>
    <x:col min="6" max="6" width="54" hidden="0" customWidth="1"/>
    <x:col min="8" max="8" width="24" hidden="0" customWidth="1"/>
    <x:col min="9" max="9" width="14" hidden="0" customWidth="1"/>
    <x:col min="10" max="10" width="14" hidden="0" customWidth="1"/>
  </x:cols>
  <x:sheetData>
    <x:row r="1">
      <x:c r="A1" s="115" t="str">
        <x:v>PHASE 0 · Manual prototype gate status</x:v>
      </x:c>
      <x:c r="B1" s="115"/>
      <x:c r="C1" s="115"/>
      <x:c r="D1" s="115"/>
      <x:c r="E1" s="115"/>
      <x:c r="F1" s="115"/>
      <x:c r="G1" s="75"/>
      <x:c r="H1" s="75"/>
      <x:c r="I1" s="75"/>
      <x:c r="J1" s="75"/>
    </x:row>
    <x:row r="2">
      <x:c r="A2" s="115"/>
      <x:c r="B2" s="115"/>
      <x:c r="C2" s="115"/>
      <x:c r="D2" s="115"/>
      <x:c r="E2" s="115"/>
      <x:c r="F2" s="115"/>
      <x:c r="G2" s="75"/>
      <x:c r="H2" s="75"/>
      <x:c r="I2" s="75"/>
      <x:c r="J2" s="75"/>
    </x:row>
    <x:row r="3">
      <x:c r="A3" s="89" t="str">
        <x:v>Current verdict: VALIDATE BEFORE BUILD — behavioral evidence is pending. Yellow cells in input sheets must be completed over 10 working days.</x:v>
      </x:c>
      <x:c r="B3" s="89"/>
      <x:c r="C3" s="89"/>
      <x:c r="D3" s="89"/>
      <x:c r="E3" s="89"/>
      <x:c r="F3" s="89"/>
      <x:c r="G3" s="75"/>
      <x:c r="H3" s="75"/>
      <x:c r="I3" s="75"/>
      <x:c r="J3" s="75"/>
    </x:row>
    <x:row r="4">
      <x:c r="A4" s="75"/>
      <x:c r="B4" s="75"/>
      <x:c r="C4" s="75"/>
      <x:c r="D4" s="75"/>
      <x:c r="E4" s="75"/>
      <x:c r="F4" s="75"/>
      <x:c r="G4" s="75"/>
      <x:c r="H4" s="75"/>
      <x:c r="I4" s="75"/>
      <x:c r="J4" s="75"/>
    </x:row>
    <x:row r="5">
      <x:c r="A5" s="120" t="str">
        <x:v>Preflight metric</x:v>
      </x:c>
      <x:c r="B5" s="123" t="str">
        <x:v>Current</x:v>
      </x:c>
      <x:c r="C5" s="121" t="str">
        <x:v>Setup threshold</x:v>
      </x:c>
      <x:c r="D5" s="75"/>
      <x:c r="E5" s="75"/>
      <x:c r="F5" s="75"/>
      <x:c r="G5" s="75"/>
      <x:c r="H5" s="120" t="str">
        <x:v>Domain helper</x:v>
      </x:c>
      <x:c r="I5" s="123" t="str">
        <x:v>Signal count</x:v>
      </x:c>
      <x:c r="J5" s="121" t="str">
        <x:v>Present</x:v>
      </x:c>
    </x:row>
    <x:row r="6" ht="30" customHeight="1">
      <x:c r="A6" s="76" t="str">
        <x:v>Signal count</x:v>
      </x:c>
      <x:c r="B6" s="76" t="n">
        <x:f>COUNTA('Signals'!$A$2:$A$100)</x:f>
        <x:v>15</x:v>
      </x:c>
      <x:c r="C6" s="76" t="str">
        <x:v>12–18</x:v>
      </x:c>
      <x:c r="D6" s="75"/>
      <x:c r="E6" s="75"/>
      <x:c r="F6" s="75"/>
      <x:c r="G6" s="75"/>
      <x:c r="H6" s="75" t="str">
        <x:v>AI</x:v>
      </x:c>
      <x:c r="I6" s="75" t="n">
        <x:f>COUNTIF('Signals'!$B$2:$B$100,H6)</x:f>
        <x:v>1</x:v>
      </x:c>
      <x:c r="J6" s="75" t="n">
        <x:f>IF(I6&gt;0,1,0)</x:f>
        <x:v>1</x:v>
      </x:c>
    </x:row>
    <x:row r="7" ht="30" customHeight="1">
      <x:c r="A7" s="76" t="str">
        <x:v>Distinct represented domains</x:v>
      </x:c>
      <x:c r="B7" s="76" t="n">
        <x:f>SUM(J6:J17)</x:f>
        <x:v>12</x:v>
      </x:c>
      <x:c r="C7" s="76" t="str">
        <x:v>≥6</x:v>
      </x:c>
      <x:c r="D7" s="75"/>
      <x:c r="E7" s="75"/>
      <x:c r="F7" s="75"/>
      <x:c r="G7" s="75"/>
      <x:c r="H7" s="75" t="str">
        <x:v>Remote Sensing</x:v>
      </x:c>
      <x:c r="I7" s="75" t="n">
        <x:f>COUNTIF('Signals'!$B$2:$B$100,H7)</x:f>
        <x:v>1</x:v>
      </x:c>
      <x:c r="J7" s="75" t="n">
        <x:f>IF(I7&gt;0,1,0)</x:f>
        <x:v>1</x:v>
      </x:c>
    </x:row>
    <x:row r="8" ht="30" customHeight="1">
      <x:c r="A8" s="76" t="str">
        <x:v>Signals with ≥2 Sources</x:v>
      </x:c>
      <x:c r="B8" s="76" t="n">
        <x:f>COUNTIF('Signals'!$R$2:$R$100,"&gt;=2")</x:f>
        <x:v>13</x:v>
      </x:c>
      <x:c r="C8" s="76" t="str">
        <x:v>≥4</x:v>
      </x:c>
      <x:c r="D8" s="75"/>
      <x:c r="E8" s="75"/>
      <x:c r="F8" s="75"/>
      <x:c r="G8" s="75"/>
      <x:c r="H8" s="75" t="str">
        <x:v>Governance</x:v>
      </x:c>
      <x:c r="I8" s="75" t="n">
        <x:f>COUNTIF('Signals'!$B$2:$B$100,H8)</x:f>
        <x:v>1</x:v>
      </x:c>
      <x:c r="J8" s="75" t="n">
        <x:f>IF(I8&gt;0,1,0)</x:f>
        <x:v>1</x:v>
      </x:c>
    </x:row>
    <x:row r="9" ht="30" customHeight="1">
      <x:c r="A9" s="76" t="str">
        <x:v>Multi-source Signal rate</x:v>
      </x:c>
      <x:c r="B9" s="91" t="n">
        <x:f>IF(B6=0,0,B8/B6)</x:f>
        <x:v>0.8666666666666667</x:v>
      </x:c>
      <x:c r="C9" s="76" t="str">
        <x:v>≥30%</x:v>
      </x:c>
      <x:c r="D9" s="75"/>
      <x:c r="E9" s="75"/>
      <x:c r="F9" s="75"/>
      <x:c r="G9" s="75"/>
      <x:c r="H9" s="75" t="str">
        <x:v>Tourism Technology</x:v>
      </x:c>
      <x:c r="I9" s="75" t="n">
        <x:f>COUNTIF('Signals'!$B$2:$B$100,H9)</x:f>
        <x:v>1</x:v>
      </x:c>
      <x:c r="J9" s="75" t="n">
        <x:f>IF(I9&gt;0,1,0)</x:f>
        <x:v>1</x:v>
      </x:c>
    </x:row>
    <x:row r="10" ht="30" customHeight="1">
      <x:c r="A10" s="76" t="str">
        <x:v>Signals with contradictory evidence</x:v>
      </x:c>
      <x:c r="B10" s="76" t="n">
        <x:f>COUNTIF('Signals'!$T$2:$T$100,"&gt;0")</x:f>
        <x:v>4</x:v>
      </x:c>
      <x:c r="C10" s="76" t="str">
        <x:v>≥2 stress cases</x:v>
      </x:c>
      <x:c r="D10" s="75"/>
      <x:c r="E10" s="75"/>
      <x:c r="F10" s="75"/>
      <x:c r="G10" s="75"/>
      <x:c r="H10" s="75" t="str">
        <x:v>Mobility</x:v>
      </x:c>
      <x:c r="I10" s="75" t="n">
        <x:f>COUNTIF('Signals'!$B$2:$B$100,H10)</x:f>
        <x:v>2</x:v>
      </x:c>
      <x:c r="J10" s="75" t="n">
        <x:f>IF(I10&gt;0,1,0)</x:f>
        <x:v>1</x:v>
      </x:c>
    </x:row>
    <x:row r="11" ht="30" customHeight="1">
      <x:c r="A11" s="76" t="str">
        <x:v>Source count</x:v>
      </x:c>
      <x:c r="B11" s="76" t="n">
        <x:f>COUNTA('Sources'!$A$2:$A$100)</x:f>
        <x:v>31</x:v>
      </x:c>
      <x:c r="C11" s="76" t="str">
        <x:v>Traceable, no quota</x:v>
      </x:c>
      <x:c r="D11" s="75"/>
      <x:c r="E11" s="75"/>
      <x:c r="F11" s="75"/>
      <x:c r="G11" s="75"/>
      <x:c r="H11" s="75" t="str">
        <x:v>Accessibility</x:v>
      </x:c>
      <x:c r="I11" s="75" t="n">
        <x:f>COUNTIF('Signals'!$B$2:$B$100,H11)</x:f>
        <x:v>1</x:v>
      </x:c>
      <x:c r="J11" s="75" t="n">
        <x:f>IF(I11&gt;0,1,0)</x:f>
        <x:v>1</x:v>
      </x:c>
    </x:row>
    <x:row r="12">
      <x:c r="A12" s="75"/>
      <x:c r="B12" s="75"/>
      <x:c r="C12" s="75"/>
      <x:c r="D12" s="75"/>
      <x:c r="E12" s="75"/>
      <x:c r="F12" s="75"/>
      <x:c r="G12" s="75"/>
      <x:c r="H12" s="75" t="str">
        <x:v>Protected Areas</x:v>
      </x:c>
      <x:c r="I12" s="75" t="n">
        <x:f>COUNTIF('Signals'!$B$2:$B$100,H12)</x:f>
        <x:v>1</x:v>
      </x:c>
      <x:c r="J12" s="75" t="n">
        <x:f>IF(I12&gt;0,1,0)</x:f>
        <x:v>1</x:v>
      </x:c>
    </x:row>
    <x:row r="13">
      <x:c r="A13" s="75"/>
      <x:c r="B13" s="75"/>
      <x:c r="C13" s="75"/>
      <x:c r="D13" s="75"/>
      <x:c r="E13" s="75"/>
      <x:c r="F13" s="75"/>
      <x:c r="G13" s="75"/>
      <x:c r="H13" s="75" t="str">
        <x:v>Climate</x:v>
      </x:c>
      <x:c r="I13" s="75" t="n">
        <x:f>COUNTIF('Signals'!$B$2:$B$100,H13)</x:f>
        <x:v>1</x:v>
      </x:c>
      <x:c r="J13" s="75" t="n">
        <x:f>IF(I13&gt;0,1,0)</x:f>
        <x:v>1</x:v>
      </x:c>
    </x:row>
    <x:row r="14">
      <x:c r="A14" s="120" t="str">
        <x:v>Contract criterion</x:v>
      </x:c>
      <x:c r="B14" s="123" t="str">
        <x:v>Measured value</x:v>
      </x:c>
      <x:c r="C14" s="123" t="str">
        <x:v>Threshold</x:v>
      </x:c>
      <x:c r="D14" s="123" t="str">
        <x:v>Status</x:v>
      </x:c>
      <x:c r="E14" s="123" t="str">
        <x:v>Interpretation</x:v>
      </x:c>
      <x:c r="F14" s="121" t="str">
        <x:v>What remains</x:v>
      </x:c>
      <x:c r="G14" s="75"/>
      <x:c r="H14" s="75" t="str">
        <x:v>Wildfire</x:v>
      </x:c>
      <x:c r="I14" s="75" t="n">
        <x:f>COUNTIF('Signals'!$B$2:$B$100,H14)</x:f>
        <x:v>1</x:v>
      </x:c>
      <x:c r="J14" s="75" t="n">
        <x:f>IF(I14&gt;0,1,0)</x:f>
        <x:v>1</x:v>
      </x:c>
    </x:row>
    <x:row r="15" ht="64" customHeight="1">
      <x:c r="A15" s="76" t="str">
        <x:v>Signal / Source separation</x:v>
      </x:c>
      <x:c r="B15" s="76" t="str">
        <x:f>TEXT(B9,"0%")&amp;" multi-source; "&amp;COUNTIF('Daily Sessions'!$K$2:$K$11,"YES")&amp;" useful confirmations"</x:f>
        <x:v>87% multi-source; 0 useful confirmations</x:v>
      </x:c>
      <x:c r="C15" s="76" t="str">
        <x:v>≥30% multi-source + 2/2 qualitative confirmations</x:v>
      </x:c>
      <x:c r="D15" s="76" t="str">
        <x:f>IF(COUNTIF('Daily Sessions'!$K$2:$K$11,"&lt;&gt;")&lt;2,"PENDING",IF(AND(B9&gt;=30%,COUNTIF('Daily Sessions'!$K$2:$K$11,"YES")=2),"PASS","FAIL"))</x:f>
        <x:v>PENDING</x:v>
      </x:c>
      <x:c r="E15" s="76" t="str">
        <x:v>Structural requirement is already met; usefulness cannot be inferred from corpus design.</x:v>
      </x:c>
      <x:c r="F15" s="76" t="str">
        <x:v>Day-5 and Day-10 user confirmation.</x:v>
      </x:c>
      <x:c r="G15" s="75"/>
      <x:c r="H15" s="75" t="str">
        <x:v>Water</x:v>
      </x:c>
      <x:c r="I15" s="75" t="n">
        <x:f>COUNTIF('Signals'!$B$2:$B$100,H15)</x:f>
        <x:v>1</x:v>
      </x:c>
      <x:c r="J15" s="75" t="n">
        <x:f>IF(I15&gt;0,1,0)</x:f>
        <x:v>1</x:v>
      </x:c>
    </x:row>
    <x:row r="16" ht="64" customHeight="1">
      <x:c r="A16" s="76" t="str">
        <x:v>THE MOVE utility + follow-through</x:v>
      </x:c>
      <x:c r="B16" s="76" t="str">
        <x:f>COUNTIF('Signals'!$Z$2:$Z$100,"&gt;=4")&amp;"/"&amp;COUNT('Signals'!$Z$2:$Z$100)&amp;" useful; "&amp;(COUNTIF('Signals'!$AA$2:$AA$100,"EXECUTED")+COUNTIF('Signals'!$AA$2:$AA$100,"SCHEDULED")+COUNTIF('Signals'!$AA$2:$AA$100,"REJECTED"))&amp;" follow-through"</x:f>
        <x:v>0/0 useful; 0 follow-through</x:v>
      </x:c>
      <x:c r="C16" s="76" t="str">
        <x:v>≥70% ratings 4–5 + ≥50% executed/scheduled/rejected</x:v>
      </x:c>
      <x:c r="D16" s="76" t="str">
        <x:f>IF(COUNT('Signals'!$Z$2:$Z$100)&lt;COUNTIF('Signals'!$Q$2:$Q$100,"Y"),"PENDING",IF(AND(COUNTIF('Signals'!$Z$2:$Z$100,"&gt;=4")/COUNT('Signals'!$Z$2:$Z$100)&gt;=70%,(COUNTIF('Signals'!$AA$2:$AA$100,"EXECUTED")+COUNTIF('Signals'!$AA$2:$AA$100,"SCHEDULED")+COUNTIF('Signals'!$AA$2:$AA$100,"REJECTED"))/COUNTIF('Signals'!$Q$2:$Q$100,"Y")&gt;=50%),"PASS","FAIL"))</x:f>
        <x:v>PENDING</x:v>
      </x:c>
      <x:c r="E16" s="76" t="str">
        <x:v>No ratings/outcomes are prefilled.</x:v>
      </x:c>
      <x:c r="F16" s="76" t="str">
        <x:v>Rate all actionable Moves and record outcomes.</x:v>
      </x:c>
      <x:c r="G16" s="75"/>
      <x:c r="H16" s="75" t="str">
        <x:v>Tourism Data</x:v>
      </x:c>
      <x:c r="I16" s="75" t="n">
        <x:f>COUNTIF('Signals'!$B$2:$B$100,H16)</x:f>
        <x:v>2</x:v>
      </x:c>
      <x:c r="J16" s="75" t="n">
        <x:f>IF(I16&gt;0,1,0)</x:f>
        <x:v>1</x:v>
      </x:c>
    </x:row>
    <x:row r="17" ht="64" customHeight="1">
      <x:c r="A17" s="76" t="str">
        <x:v>Evidence comprehension</x:v>
      </x:c>
      <x:c r="B17" s="76" t="str">
        <x:f>COUNTIF('Review Log'!$E$2:$E$100,"YES")&amp;"/"&amp;(COUNTIF('Review Log'!$E$2:$E$100,"YES")+COUNTIF('Review Log'!$E$2:$E$100,"NO"))</x:f>
        <x:v>0/0</x:v>
      </x:c>
      <x:c r="C17" s="76" t="str">
        <x:v>≥80% correct explanations across ≥10 reviews</x:v>
      </x:c>
      <x:c r="D17" s="76" t="str">
        <x:f>IF(COUNTIF('Review Log'!$E$2:$E$100,"YES")+COUNTIF('Review Log'!$E$2:$E$100,"NO")&lt;10,"PENDING",IF(COUNTIF('Review Log'!$E$2:$E$100,"YES")/(COUNTIF('Review Log'!$E$2:$E$100,"YES")+COUNTIF('Review Log'!$E$2:$E$100,"NO"))&gt;=80%,"PASS","FAIL"))</x:f>
        <x:v>PENDING</x:v>
      </x:c>
      <x:c r="E17" s="76" t="str">
        <x:v>Evidence labels show rationales and contradiction counts.</x:v>
      </x:c>
      <x:c r="F17" s="76" t="str">
        <x:v>Observe unaided explanations during reviews.</x:v>
      </x:c>
      <x:c r="G17" s="75"/>
      <x:c r="H17" s="75" t="str">
        <x:v>Data Governance</x:v>
      </x:c>
      <x:c r="I17" s="75" t="n">
        <x:f>COUNTIF('Signals'!$B$2:$B$100,H17)</x:f>
        <x:v>1</x:v>
      </x:c>
      <x:c r="J17" s="75" t="n">
        <x:f>IF(I17&gt;0,1,0)</x:f>
        <x:v>1</x:v>
      </x:c>
    </x:row>
    <x:row r="18" ht="64" customHeight="1">
      <x:c r="A18" s="76" t="str">
        <x:v>Priority usefulness</x:v>
      </x:c>
      <x:c r="B18" s="76" t="str">
        <x:f>COUNTIF('Signals'!$X$2:$X$100,"YES")&amp;" P1 timely; "&amp;COUNTIF('Signals'!$Y$2:$Y$100,"YES")&amp;" background"</x:f>
        <x:v>0 P1 timely; 0 background</x:v>
      </x:c>
      <x:c r="C18" s="76" t="str">
        <x:v>≥80% P1 reviewed in 1 day; ≤20% later background</x:v>
      </x:c>
      <x:c r="D18" s="76" t="str">
        <x:f>IF(OR(COUNTIF('Signals'!$X$2:$X$100,"YES")+COUNTIF('Signals'!$X$2:$X$100,"NO")&lt;COUNTIF('Signals'!$J$2:$J$100,"P1"),COUNTIF('Signals'!$Y$2:$Y$100,"YES")+COUNTIF('Signals'!$Y$2:$Y$100,"NO")&lt;COUNTIF('Signals'!$J$2:$J$100,"P1")),"PENDING",IF(AND(COUNTIF('Signals'!$X$2:$X$100,"YES")/COUNTIF('Signals'!$J$2:$J$100,"P1")&gt;=80%,COUNTIF('Signals'!$Y$2:$Y$100,"YES")/COUNTIF('Signals'!$J$2:$J$100,"P1")&lt;=20%),"PASS","FAIL"))</x:f>
        <x:v>PENDING</x:v>
      </x:c>
      <x:c r="E18" s="76" t="str">
        <x:v>Day-1 Radar has exactly 10 P1 items and an explicit end.</x:v>
      </x:c>
      <x:c r="F18" s="76" t="str">
        <x:v>Record review dates and later background judgment.</x:v>
      </x:c>
      <x:c r="G18" s="75"/>
      <x:c r="H18" s="75"/>
      <x:c r="I18" s="75"/>
      <x:c r="J18" s="75"/>
    </x:row>
    <x:row r="19" ht="64" customHeight="1">
      <x:c r="A19" s="76" t="str">
        <x:v>Field economy</x:v>
      </x:c>
      <x:c r="B19" s="76" t="str">
        <x:f>IF(COUNT('Field Audit'!$E$2:$E$11)=0,"No observations",TEXT(MAX('Field Audit'!$E$2:$E$11),"0%")&amp;" worst friction")</x:f>
        <x:v>No observations</x:v>
      </x:c>
      <x:c r="C19" s="76" t="str">
        <x:v>No required field skipped/redundant &gt;40%</x:v>
      </x:c>
      <x:c r="D19" s="76" t="str">
        <x:f>IF(MIN('Field Audit'!$B$2:$B$11)&lt;10,"PENDING",IF(MAX('Field Audit'!$E$2:$E$11)&lt;=40%,"PASS","FAIL"))</x:f>
        <x:v>PENDING</x:v>
      </x:c>
      <x:c r="E19" s="76" t="str">
        <x:v>Ten candidate required fields are isolated for removal testing.</x:v>
      </x:c>
      <x:c r="F19" s="76" t="str">
        <x:v>Record exposure, skips and redundancy after reviews.</x:v>
      </x:c>
      <x:c r="G19" s="75"/>
      <x:c r="H19" s="75"/>
      <x:c r="I19" s="75"/>
      <x:c r="J19" s="75"/>
    </x:row>
    <x:row r="20" ht="64" customHeight="1">
      <x:c r="A20" s="76" t="str">
        <x:v>Processing cost</x:v>
      </x:c>
      <x:c r="B20" s="76" t="str">
        <x:f>IF(COUNT('Review Log'!$J$2:$J$100)=0,"No week-2 reviews",TEXT(MEDIAN('Review Log'!$J$2:$J$100),"0.0")&amp;" min review; "&amp;TEXT(MEDIAN('Review Log'!$C$2:$C$100),"0.0")&amp;" min capture")</x:f>
        <x:v>No week-2 reviews</x:v>
      </x:c>
      <x:c r="C20" s="76" t="str">
        <x:v>Week-2 median review ≤8 min; source capture ≤2 min</x:v>
      </x:c>
      <x:c r="D20" s="76" t="str">
        <x:f>IF(OR(COUNT('Review Log'!$J$2:$J$100)&lt;5,COUNT('Review Log'!$C$2:$C$100)&lt;10),"PENDING",IF(AND(MEDIAN('Review Log'!$J$2:$J$100)&lt;=8,MEDIAN('Review Log'!$C$2:$C$100)&lt;=2),"PASS","FAIL"))</x:f>
        <x:v>PENDING</x:v>
      </x:c>
      <x:c r="E20" s="76" t="str">
        <x:v>Authoring time is deliberately not estimated from Codex research time.</x:v>
      </x:c>
      <x:c r="F20" s="76" t="str">
        <x:v>Enter actual capture/review minutes; ≥5 week-2 reviews.</x:v>
      </x:c>
      <x:c r="G20" s="75"/>
      <x:c r="H20" s="75"/>
      <x:c r="I20" s="75"/>
      <x:c r="J20" s="75"/>
    </x:row>
    <x:row r="21" ht="64" customHeight="1">
      <x:c r="A21" s="76" t="str">
        <x:v>Return behavior</x:v>
      </x:c>
      <x:c r="B21" s="76" t="str">
        <x:f>COUNTIF('Daily Sessions'!$D$2:$D$11,"YES")&amp;" voluntary; "&amp;COUNTIF('Daily Sessions'!$G$2:$G$11,"YES")&amp;" decision visits"</x:f>
        <x:v>0 voluntary; 0 decision visits</x:v>
      </x:c>
      <x:c r="C21" s="76" t="str">
        <x:v>≥6 voluntary opens; ≥3 visits affect a decision</x:v>
      </x:c>
      <x:c r="D21" s="76" t="str">
        <x:f>IF(COUNTIF('Daily Sessions'!$C$2:$C$11,"YES")+COUNTIF('Daily Sessions'!$C$2:$C$11,"NO")&lt;10,"PENDING",IF(AND(COUNTIF('Daily Sessions'!$D$2:$D$11,"YES")&gt;=6,COUNTIF('Daily Sessions'!$G$2:$G$11,"YES")&gt;=3),"PASS","FAIL"))</x:f>
        <x:v>PENDING</x:v>
      </x:c>
      <x:c r="E21" s="76" t="str">
        <x:v>Behavior cannot be simulated or inferred from workbook completion.</x:v>
      </x:c>
      <x:c r="F21" s="76" t="str">
        <x:v>Complete all ten daily rows truthfully.</x:v>
      </x:c>
      <x:c r="G21" s="75"/>
      <x:c r="H21" s="75"/>
      <x:c r="I21" s="75"/>
      <x:c r="J21" s="75"/>
    </x:row>
    <x:row r="22" ht="64" customHeight="1">
      <x:c r="A22" s="76" t="str">
        <x:v>Traceability</x:v>
      </x:c>
      <x:c r="B22" s="76" t="str">
        <x:f>IF(COUNT('Daily Sessions'!$I$2:$I$11)=0,"No checks",TEXT(MAX('Daily Sessions'!$I$2:$I$11),"0")&amp;" sec maximum")</x:f>
        <x:v>No checks</x:v>
      </x:c>
      <x:c r="C22" s="76" t="str">
        <x:v>All sampled acted-Signal rationales found in &lt;60 sec</x:v>
      </x:c>
      <x:c r="D22" s="76" t="str">
        <x:f>IF(COUNT('Daily Sessions'!$I$2:$I$11)&lt;3,"PENDING",IF(MAX('Daily Sessions'!$I$2:$I$11)&lt;60,"PASS","FAIL"))</x:f>
        <x:v>PENDING</x:v>
      </x:c>
      <x:c r="E22" s="76" t="str">
        <x:v>All source URLs and relationships are present structurally.</x:v>
      </x:c>
      <x:c r="F22" s="76" t="str">
        <x:v>Time ≥3 unaided rationale-recovery checks.</x:v>
      </x:c>
      <x:c r="G22" s="75"/>
      <x:c r="H22" s="75"/>
      <x:c r="I22" s="75"/>
      <x:c r="J22" s="75"/>
    </x:row>
    <x:row r="23">
      <x:c r="A23" s="75"/>
      <x:c r="B23" s="75"/>
      <x:c r="C23" s="75"/>
      <x:c r="D23" s="75"/>
      <x:c r="E23" s="75"/>
      <x:c r="F23" s="75"/>
      <x:c r="G23" s="75"/>
      <x:c r="H23" s="75"/>
      <x:c r="I23" s="75"/>
      <x:c r="J23" s="75"/>
    </x:row>
    <x:row r="24">
      <x:c r="A24" s="75"/>
      <x:c r="B24" s="75"/>
      <x:c r="C24" s="75"/>
      <x:c r="D24" s="75"/>
      <x:c r="E24" s="75"/>
      <x:c r="F24" s="75"/>
      <x:c r="G24" s="75"/>
      <x:c r="H24" s="75"/>
      <x:c r="I24" s="75"/>
      <x:c r="J24" s="75"/>
    </x:row>
    <x:row r="25" ht="40" customHeight="1">
      <x:c r="A25" s="78" t="str">
        <x:v>Overall gate</x:v>
      </x:c>
      <x:c r="B25" s="78"/>
      <x:c r="C25" s="78"/>
      <x:c r="D25" s="92" t="str">
        <x:f>IF(COUNTIF(D15:D22,"FAIL")&gt;0,"DO NOT BUILD / REDESIGN",IF(OR(COUNTIF(D15:D22,"PENDING")&gt;0,COUNTIF('Signals'!$AD$2:$AD$100,"CONFIRMED")&lt;COUNTA('Signals'!$A$2:$A$100)),"VALIDATE BEFORE BUILD","PROCEED WITH CHANGES"))</x:f>
        <x:v>VALIDATE BEFORE BUILD</x:v>
      </x:c>
      <x:c r="E25" s="93"/>
      <x:c r="F25" s="94"/>
      <x:c r="G25" s="75"/>
      <x:c r="H25" s="75"/>
      <x:c r="I25" s="75"/>
      <x:c r="J25" s="75"/>
    </x:row>
  </x:sheetData>
  <x:mergeCells>
    <x:mergeCell ref="A1:F2"/>
    <x:mergeCell ref="A3:F3"/>
    <x:mergeCell ref="A25:C25"/>
    <x:mergeCell ref="D25:F25"/>
  </x:mergeCells>
  <x:conditionalFormatting sqref="D15:D22">
    <x:cfRule type="containsText" dxfId="7" priority="1" operator="containsText" text="PASS"/>
    <x:cfRule type="containsText" dxfId="8" priority="2" operator="containsText" text="FAIL"/>
    <x:cfRule type="containsText" dxfId="9" priority="3" operator="containsText" text="PENDING"/>
    <x:cfRule type="containsText" dxfId="10" priority="4" operator="containsText" text="VALIDATE"/>
  </x:conditionalFormatting>
  <x:conditionalFormatting sqref="D25:F25">
    <x:cfRule type="containsText" dxfId="11" priority="5" operator="containsText" text="PASS"/>
    <x:cfRule type="containsText" dxfId="12" priority="6" operator="containsText" text="FAIL"/>
    <x:cfRule type="containsText" dxfId="13" priority="7" operator="containsText" text="PENDING"/>
    <x:cfRule type="containsText" dxfId="14" priority="8" operator="containsText" text="VALIDAT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52" hidden="0" customWidth="1"/>
    <x:col min="5" max="5" width="14" hidden="0" customWidth="1"/>
    <x:col min="6" max="6" width="20" hidden="0" customWidth="1"/>
    <x:col min="7" max="7" width="20" hidden="0" customWidth="1"/>
    <x:col min="8" max="8" width="76" hidden="0" customWidth="1"/>
  </x:cols>
  <x:sheetData>
    <x:row r="1">
      <x:c r="A1" s="115" t="str">
        <x:v>RADAR · Day 1 · Monday 24 August 2026</x:v>
      </x:c>
      <x:c r="B1" s="115"/>
      <x:c r="C1" s="115"/>
      <x:c r="D1" s="115"/>
      <x:c r="E1" s="115"/>
      <x:c r="F1" s="115"/>
      <x:c r="G1" s="115"/>
      <x:c r="H1" s="115"/>
    </x:row>
    <x:row r="2">
      <x:c r="A2" s="115"/>
      <x:c r="B2" s="115"/>
      <x:c r="C2" s="115"/>
      <x:c r="D2" s="115"/>
      <x:c r="E2" s="115"/>
      <x:c r="F2" s="115"/>
      <x:c r="G2" s="115"/>
      <x:c r="H2" s="115"/>
    </x:row>
    <x:row r="3">
      <x:c r="A3" s="99" t="str">
        <x:v>10 Signals need decision or containment. Ordered by deadline, enforcement recency, high-attention project link and contradiction/evidence change.</x:v>
      </x:c>
      <x:c r="B3" s="99"/>
      <x:c r="C3" s="99"/>
      <x:c r="D3" s="99"/>
      <x:c r="E3" s="99"/>
      <x:c r="F3" s="99"/>
      <x:c r="G3" s="99"/>
      <x:c r="H3" s="99"/>
    </x:row>
    <x:row r="4">
      <x:c r="A4" s="75"/>
      <x:c r="B4" s="75"/>
      <x:c r="C4" s="75"/>
      <x:c r="D4" s="75"/>
      <x:c r="E4" s="75"/>
      <x:c r="F4" s="75"/>
      <x:c r="G4" s="75"/>
      <x:c r="H4" s="75"/>
    </x:row>
    <x:row r="5">
      <x:c r="A5" s="120" t="str">
        <x:v>Order</x:v>
      </x:c>
      <x:c r="B5" s="123" t="str">
        <x:v>Priority</x:v>
      </x:c>
      <x:c r="C5" s="123" t="str">
        <x:v>Signal ID</x:v>
      </x:c>
      <x:c r="D5" s="123" t="str">
        <x:v>Signal</x:v>
      </x:c>
      <x:c r="E5" s="123" t="str">
        <x:v>Evidence</x:v>
      </x:c>
      <x:c r="F5" s="123" t="str">
        <x:v>Projects</x:v>
      </x:c>
      <x:c r="G5" s="123" t="str">
        <x:v>Disposition</x:v>
      </x:c>
      <x:c r="H5" s="121" t="str">
        <x:v>THE MOVE / next trigger</x:v>
      </x:c>
    </x:row>
    <x:row r="6" ht="66" customHeight="1">
      <x:c r="A6" s="76" t="n">
        <x:v>1</x:v>
      </x:c>
      <x:c r="B6" s="100" t="str">
        <x:v>P1</x:v>
      </x:c>
      <x:c r="C6" s="76" t="str">
        <x:v>S008</x:v>
      </x:c>
      <x:c r="D6" s="76" t="str">
        <x:v>The national restoration-plan deadline creates an immediate tourism input window</x:v>
      </x:c>
      <x:c r="E6" s="101" t="str">
        <x:v>HIGH</x:v>
      </x:c>
      <x:c r="F6" s="76" t="str">
        <x:v>TFM, HATI</x:v>
      </x:c>
      <x:c r="G6" s="76" t="str">
        <x:v>ADOPT</x:v>
      </x:c>
      <x:c r="H6" s="76" t="str">
        <x:v>Review the relevant draft national plan and log every tourism-access, visitor-management or monitoring implication before 1 September.</x:v>
      </x:c>
    </x:row>
    <x:row r="7" ht="66" customHeight="1">
      <x:c r="A7" s="76" t="n">
        <x:v>2</x:v>
      </x:c>
      <x:c r="B7" s="100" t="str">
        <x:v>P1</x:v>
      </x:c>
      <x:c r="C7" s="76" t="str">
        <x:v>S002</x:v>
      </x:c>
      <x:c r="D7" s="76" t="str">
        <x:v>EU AI transparency duties now apply to tourism-facing AI interactions</x:v>
      </x:c>
      <x:c r="E7" s="101" t="str">
        <x:v>HIGH</x:v>
      </x:c>
      <x:c r="F7" s="76" t="str">
        <x:v>SNTO, LocalFlow</x:v>
      </x:c>
      <x:c r="G7" s="76" t="str">
        <x:v>TEST</x:v>
      </x:c>
      <x:c r="H7" s="76" t="str">
        <x:v>Audit one tourism chatbot flow and one public-information content flow against Article 50 before releasing AI-assisted features.</x:v>
      </x:c>
    </x:row>
    <x:row r="8" ht="66" customHeight="1">
      <x:c r="A8" s="76" t="n">
        <x:v>3</x:v>
      </x:c>
      <x:c r="B8" s="100" t="str">
        <x:v>P1</x:v>
      </x:c>
      <x:c r="C8" s="76" t="str">
        <x:v>S010</x:v>
      </x:c>
      <x:c r="D8" s="76" t="str">
        <x:v>Record wildfire exposure raises a protected-area capacity question, not an automatic threshold</x:v>
      </x:c>
      <x:c r="E8" s="101" t="str">
        <x:v>HIGH</x:v>
      </x:c>
      <x:c r="F8" s="76" t="str">
        <x:v>TFM, HATI</x:v>
      </x:c>
      <x:c r="G8" s="76" t="str">
        <x:v>TEST</x:v>
      </x:c>
      <x:c r="H8" s="76" t="str">
        <x:v>Overlay closures/fire-danger levels with admissible visitor and vehicle thresholds for two protected sites before revising the capacity model.</x:v>
      </x:c>
    </x:row>
    <x:row r="9" ht="66" customHeight="1">
      <x:c r="A9" s="76" t="n">
        <x:v>4</x:v>
      </x:c>
      <x:c r="B9" s="100" t="str">
        <x:v>P1</x:v>
      </x:c>
      <x:c r="C9" s="76" t="str">
        <x:v>S009</x:v>
      </x:c>
      <x:c r="D9" s="76" t="str">
        <x:v>Heat stress is intensifying even as aggregate EU tourism nights continue to grow</x:v>
      </x:c>
      <x:c r="E9" s="101" t="str">
        <x:v>HIGH</x:v>
      </x:c>
      <x:c r="F9" s="76" t="str">
        <x:v>TFM, HATI</x:v>
      </x:c>
      <x:c r="G9" s="76" t="str">
        <x:v>TEST</x:v>
      </x:c>
      <x:c r="H9" s="76" t="str">
        <x:v>Compare daily UTCI and visitor/mobility counts across two documented heatwave periods before changing capacity thresholds.</x:v>
      </x:c>
    </x:row>
    <x:row r="10" ht="66" customHeight="1">
      <x:c r="A10" s="76" t="n">
        <x:v>5</x:v>
      </x:c>
      <x:c r="B10" s="100" t="str">
        <x:v>P1</x:v>
      </x:c>
      <x:c r="C10" s="76" t="str">
        <x:v>S003</x:v>
      </x:c>
      <x:c r="D10" s="76" t="str">
        <x:v>EU short-term-rental data rules now create a monthly evidence channel</x:v>
      </x:c>
      <x:c r="E10" s="101" t="str">
        <x:v>HIGH</x:v>
      </x:c>
      <x:c r="F10" s="76" t="str">
        <x:v>TFM, SNTO</x:v>
      </x:c>
      <x:c r="G10" s="76" t="str">
        <x:v>TEST</x:v>
      </x:c>
      <x:c r="H10" s="76" t="str">
        <x:v>Map the local registration scheme, Single Digital Entry Point and fields available before redesigning short-term-rental indicators.</x:v>
      </x:c>
    </x:row>
    <x:row r="11" ht="66" customHeight="1">
      <x:c r="A11" s="76" t="n">
        <x:v>6</x:v>
      </x:c>
      <x:c r="B11" s="100" t="str">
        <x:v>P1</x:v>
      </x:c>
      <x:c r="C11" s="76" t="str">
        <x:v>S007</x:v>
      </x:c>
      <x:c r="D11" s="76" t="str">
        <x:v>EU accessibility requirements now cover tourism e-commerce and transport interfaces</x:v>
      </x:c>
      <x:c r="E11" s="101" t="str">
        <x:v>HIGH</x:v>
      </x:c>
      <x:c r="F11" s="76" t="str">
        <x:v>LocalFlow, SNTO</x:v>
      </x:c>
      <x:c r="G11" s="76" t="str">
        <x:v>TEST</x:v>
      </x:c>
      <x:c r="H11" s="76" t="str">
        <x:v>Audit one end-to-end booking journey—including transport information and payment—against applicable EAA requirements.</x:v>
      </x:c>
    </x:row>
    <x:row r="12" ht="66" customHeight="1">
      <x:c r="A12" s="76" t="n">
        <x:v>7</x:v>
      </x:c>
      <x:c r="B12" s="100" t="str">
        <x:v>P1</x:v>
      </x:c>
      <x:c r="C12" s="76" t="str">
        <x:v>S004</x:v>
      </x:c>
      <x:c r="D12" s="76" t="str">
        <x:v>Booking DMA rules create formal direct-channel leverage, but realized benefit remains contested</x:v>
      </x:c>
      <x:c r="E12" s="101" t="str">
        <x:v>MEDIUM</x:v>
      </x:c>
      <x:c r="F12" s="76" t="str">
        <x:v>LocalFlow</x:v>
      </x:c>
      <x:c r="G12" s="76" t="str">
        <x:v>TEST</x:v>
      </x:c>
      <x:c r="H12" s="76" t="str">
        <x:v>Compare direct and Booking.com prices plus available business-user exports for 20 local properties before recommending channel changes.</x:v>
      </x:c>
    </x:row>
    <x:row r="13" ht="66" customHeight="1">
      <x:c r="A13" s="76" t="n">
        <x:v>8</x:v>
      </x:c>
      <x:c r="B13" s="100" t="str">
        <x:v>P1</x:v>
      </x:c>
      <x:c r="C13" s="76" t="str">
        <x:v>S012</x:v>
      </x:c>
      <x:c r="D13" s="76" t="str">
        <x:v>Platform-booked short stays grew far faster than total accommodation nights in 2025</x:v>
      </x:c>
      <x:c r="E13" s="101" t="str">
        <x:v>HIGH</x:v>
      </x:c>
      <x:c r="F13" s="76" t="str">
        <x:v>TFM, SNTO</x:v>
      </x:c>
      <x:c r="G13" s="76" t="str">
        <x:v>TEST</x:v>
      </x:c>
      <x:c r="H13" s="76" t="str">
        <x:v>Calculate the local platform-versus-total nights growth using matched geography and definitions before changing pressure indicators.</x:v>
      </x:c>
    </x:row>
    <x:row r="14" ht="66" customHeight="1">
      <x:c r="A14" s="76" t="n">
        <x:v>9</x:v>
      </x:c>
      <x:c r="B14" s="100" t="str">
        <x:v>P1</x:v>
      </x:c>
      <x:c r="C14" s="76" t="str">
        <x:v>S014</x:v>
      </x:c>
      <x:c r="D14" s="76" t="str">
        <x:v>MNO mobility data is promising but not decision-grade without bias validation</x:v>
      </x:c>
      <x:c r="E14" s="101" t="str">
        <x:v>MEDIUM</x:v>
      </x:c>
      <x:c r="F14" s="76" t="str">
        <x:v>TFM, SNTO</x:v>
      </x:c>
      <x:c r="G14" s="76" t="str">
        <x:v>TEST</x:v>
      </x:c>
      <x:c r="H14" s="76" t="str">
        <x:v>Benchmark one MNO-derived series against counters or official counts across resident-heavy and visitor-heavy zones before using it operationally.</x:v>
      </x:c>
    </x:row>
    <x:row r="15" ht="66" customHeight="1">
      <x:c r="A15" s="76" t="n">
        <x:v>10</x:v>
      </x:c>
      <x:c r="B15" s="100" t="str">
        <x:v>P1</x:v>
      </x:c>
      <x:c r="C15" s="76" t="str">
        <x:v>S001</x:v>
      </x:c>
      <x:c r="D15" s="76" t="str">
        <x:v>AlphaEarth embeddings are accessible, but tourism-monitoring value is unvalidated</x:v>
      </x:c>
      <x:c r="E15" s="101" t="str">
        <x:v>HIGH</x:v>
      </x:c>
      <x:c r="F15" s="76" t="str">
        <x:v>TFM, SNTO</x:v>
      </x:c>
      <x:c r="G15" s="76" t="str">
        <x:v>TEST</x:v>
      </x:c>
      <x:c r="H15" s="76" t="str">
        <x:v>Compare AlphaEarth with the current NDVI/anomaly baseline on two known sites before changing the monitoring pipeline.</x:v>
      </x:c>
    </x:row>
    <x:row r="16">
      <x:c r="A16" s="75"/>
      <x:c r="B16" s="75"/>
      <x:c r="C16" s="75"/>
      <x:c r="D16" s="75"/>
      <x:c r="E16" s="75"/>
      <x:c r="F16" s="75"/>
      <x:c r="G16" s="75"/>
      <x:c r="H16" s="75"/>
    </x:row>
    <x:row r="17">
      <x:c r="A17" s="102" t="str">
        <x:v>End of Radar · P2/P3 context remains in Signals; it is intentionally excluded from today's finite queue.</x:v>
      </x:c>
      <x:c r="B17" s="102"/>
      <x:c r="C17" s="102"/>
      <x:c r="D17" s="102"/>
      <x:c r="E17" s="102"/>
      <x:c r="F17" s="102"/>
      <x:c r="G17" s="102"/>
      <x:c r="H17" s="102"/>
    </x:row>
  </x:sheetData>
  <x:mergeCells>
    <x:mergeCell ref="A1:H2"/>
    <x:mergeCell ref="A3:H3"/>
    <x:mergeCell ref="A17:H17"/>
  </x:mergeCells>
  <x:pageMargins left="0.7" right="0.7" top="0.75" bottom="0.75" header="0.3" footer="0.3"/>
  <x:tableParts count="1">
    <x:tablePart xmlns:r="http://schemas.openxmlformats.org/officeDocument/2006/relationships" r:id="R8740cc3f008848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13" hidden="0" customWidth="1"/>
    <x:col min="4" max="4" width="13" hidden="0" customWidth="1"/>
    <x:col min="5" max="5" width="46" hidden="0" customWidth="1"/>
    <x:col min="6" max="6" width="64" hidden="0" customWidth="1"/>
    <x:col min="7" max="7" width="64" hidden="0" customWidth="1"/>
    <x:col min="8" max="8" width="15" hidden="0" customWidth="1"/>
    <x:col min="9" max="9" width="52" hidden="0" customWidth="1"/>
    <x:col min="10" max="10" width="52" hidden="0" customWidth="1"/>
    <x:col min="11" max="11" width="52" hidden="0" customWidth="1"/>
    <x:col min="12" max="12" width="14" hidden="0" customWidth="1"/>
    <x:col min="13" max="13" width="14" hidden="0" customWidth="1"/>
    <x:col min="14" max="14" width="62" hidden="0" customWidth="1"/>
    <x:col min="15" max="15" width="62" hidden="0" customWidth="1"/>
    <x:col min="16" max="16" width="15" hidden="0" customWidth="1"/>
    <x:col min="17" max="17" width="15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4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46" hidden="0" customWidth="1"/>
    <x:col min="29" max="29" width="46" hidden="0" customWidth="1"/>
    <x:col min="30" max="30" width="20" hidden="0" customWidth="1"/>
  </x:cols>
  <x:sheetData>
    <x:row r="1">
      <x:c r="A1" s="120" t="str">
        <x:v>Signal ID</x:v>
      </x:c>
      <x:c r="B1" s="123" t="str">
        <x:v>Domain</x:v>
      </x:c>
      <x:c r="C1" s="123" t="str">
        <x:v>Detected</x:v>
      </x:c>
      <x:c r="D1" s="123" t="str">
        <x:v>Evidence as-of</x:v>
      </x:c>
      <x:c r="E1" s="123" t="str">
        <x:v>Title</x:v>
      </x:c>
      <x:c r="F1" s="123" t="str">
        <x:v>Claim / what changed</x:v>
      </x:c>
      <x:c r="G1" s="123" t="str">
        <x:v>Why it matters</x:v>
      </x:c>
      <x:c r="H1" s="123" t="str">
        <x:v>Evidence quality</x:v>
      </x:c>
      <x:c r="I1" s="123" t="str">
        <x:v>Evidence rationale</x:v>
      </x:c>
      <x:c r="J1" s="123" t="str">
        <x:v>Priority</x:v>
      </x:c>
      <x:c r="K1" s="123" t="str">
        <x:v>Priority rationale</x:v>
      </x:c>
      <x:c r="L1" s="123" t="str">
        <x:v>Disposition</x:v>
      </x:c>
      <x:c r="M1" s="123" t="str">
        <x:v>Workflow</x:v>
      </x:c>
      <x:c r="N1" s="123" t="str">
        <x:v>THE MOVE</x:v>
      </x:c>
      <x:c r="O1" s="123" t="str">
        <x:v>Review trigger</x:v>
      </x:c>
      <x:c r="P1" s="123" t="str">
        <x:v>Move state</x:v>
      </x:c>
      <x:c r="Q1" s="123" t="str">
        <x:v>Actionable?</x:v>
      </x:c>
      <x:c r="R1" s="123" t="str">
        <x:v>Source count</x:v>
      </x:c>
      <x:c r="S1" s="123" t="str">
        <x:v>Supports</x:v>
      </x:c>
      <x:c r="T1" s="123" t="str">
        <x:v>Contradicts</x:v>
      </x:c>
      <x:c r="U1" s="123" t="str">
        <x:v>Context</x:v>
      </x:c>
      <x:c r="V1" s="123" t="str">
        <x:v>Added to Radar</x:v>
      </x:c>
      <x:c r="W1" s="123" t="str">
        <x:v>Reviewed date</x:v>
      </x:c>
      <x:c r="X1" s="123" t="str">
        <x:v>P1 reviewed ≤1 day?</x:v>
      </x:c>
      <x:c r="Y1" s="123" t="str">
        <x:v>Later background?</x:v>
      </x:c>
      <x:c r="Z1" s="123" t="str">
        <x:v>Move useful (1–5)</x:v>
      </x:c>
      <x:c r="AA1" s="123" t="str">
        <x:v>Outcome</x:v>
      </x:c>
      <x:c r="AB1" s="123" t="str">
        <x:v>Outcome note</x:v>
      </x:c>
      <x:c r="AC1" s="123" t="str">
        <x:v>Reviewer notes</x:v>
      </x:c>
      <x:c r="AD1" s="121" t="str">
        <x:v>Human confirmation</x:v>
      </x:c>
    </x:row>
    <x:row r="2" ht="92" customHeight="1">
      <x:c r="A2" s="76" t="str">
        <x:v>S001</x:v>
      </x:c>
      <x:c r="B2" s="76" t="str">
        <x:v>Remote Sensing</x:v>
      </x:c>
      <x:c r="C2" s="107" t="n">
        <x:v>45868</x:v>
      </x:c>
      <x:c r="D2" s="107" t="n">
        <x:v>46255</x:v>
      </x:c>
      <x:c r="E2" s="76" t="str">
        <x:v>AlphaEarth embeddings are accessible, but tourism-monitoring value is unvalidated</x:v>
      </x:c>
      <x:c r="F2" s="76" t="str">
        <x:v>Google released annual AlphaEarth satellite embeddings in Earth Engine/GCS, with layers covering 2017–2025. Availability is established; incremental value for visitor-pressure or destination indicators is not.</x:v>
      </x:c>
      <x:c r="G2" s="76" t="str">
        <x:v>The access barrier has fallen, but integrating embeddings before a baseline comparison could add opaque complexity without better decisions.</x:v>
      </x:c>
      <x:c r="H2" s="76" t="str">
        <x:v>HIGH</x:v>
      </x:c>
      <x:c r="I2" s="76" t="str">
        <x:v>Direct provider documentation confirms release and coverage; no evidence in the reviewed Sources validates the intended tourism use.</x:v>
      </x:c>
      <x:c r="J2" s="76" t="str">
        <x:v>P1</x:v>
      </x:c>
      <x:c r="K2" s="76" t="str">
        <x:v>Active monitoring projects can run a bounded comparison now; evidence supports testing, not adoption.</x:v>
      </x:c>
      <x:c r="L2" s="76" t="str">
        <x:v>TEST</x:v>
      </x:c>
      <x:c r="M2" s="76" t="str">
        <x:v>OPEN</x:v>
      </x:c>
      <x:c r="N2" s="76" t="str">
        <x:v>Compare AlphaEarth with the current NDVI/anomaly baseline on two known sites before changing the monitoring pipeline.</x:v>
      </x:c>
      <x:c r="O2" s="76" t="str">
        <x:v>Review when accuracy, interpretability and processing-cost results are recorded.</x:v>
      </x:c>
      <x:c r="P2" s="76" t="str">
        <x:v>NOT_STARTED</x:v>
      </x:c>
      <x:c r="Q2" s="76" t="str">
        <x:v>Y</x:v>
      </x:c>
      <x:c r="R2" s="76" t="n">
        <x:f>COUNTIF('Evidence Links'!$A$2:$A$100,A2)</x:f>
        <x:v>2</x:v>
      </x:c>
      <x:c r="S2" s="76" t="n">
        <x:f>COUNTIFS('Evidence Links'!$A$2:$A$100,A2,'Evidence Links'!$C$2:$C$100,"SUPPORTS")</x:f>
        <x:v>2</x:v>
      </x:c>
      <x:c r="T2" s="76" t="n">
        <x:f>COUNTIFS('Evidence Links'!$A$2:$A$100,A2,'Evidence Links'!$C$2:$C$100,"CONTRADICTS")</x:f>
        <x:v>0</x:v>
      </x:c>
      <x:c r="U2" s="76" t="n">
        <x:f>COUNTIFS('Evidence Links'!$A$2:$A$100,A2,'Evidence Links'!$C$2:$C$100,"CONTEXTUALIZES")</x:f>
        <x:v>0</x:v>
      </x:c>
      <x:c r="V2" s="107" t="n">
        <x:v>46258</x:v>
      </x:c>
      <x:c r="W2" s="108"/>
      <x:c r="X2" s="76" t="str">
        <x:f>IF(J2&lt;&gt;"P1","N/A",IF(W2="","PENDING",IF(W2&lt;=V2+1,"YES","NO")))</x:f>
        <x:v>PENDING</x:v>
      </x:c>
      <x:c r="Y2" s="109"/>
      <x:c r="Z2" s="109"/>
      <x:c r="AA2" s="109"/>
      <x:c r="AB2" s="109"/>
      <x:c r="AC2" s="109" t="str">
        <x:v>CODEX DRAFT — confirm claim, evidence quality, priority, disposition and THE MOVE.</x:v>
      </x:c>
      <x:c r="AD2" s="109" t="str">
        <x:v>PENDING</x:v>
      </x:c>
    </x:row>
    <x:row r="3" ht="92" customHeight="1">
      <x:c r="A3" s="76" t="str">
        <x:v>S002</x:v>
      </x:c>
      <x:c r="B3" s="76" t="str">
        <x:v>AI</x:v>
      </x:c>
      <x:c r="C3" s="107" t="n">
        <x:v>46223</x:v>
      </x:c>
      <x:c r="D3" s="107" t="n">
        <x:v>46255</x:v>
      </x:c>
      <x:c r="E3" s="76" t="str">
        <x:v>EU AI transparency duties now apply to tourism-facing AI interactions</x:v>
      </x:c>
      <x:c r="F3" s="76" t="str">
        <x:v>Article 50 AI Act transparency obligations began applying on 2 August 2026, with Commission guidance and enforcement channels now active. Certain AI interactions and generated or altered content must be disclosed or marked.</x:v>
      </x:c>
      <x:c r="G3" s="76" t="str">
        <x:v>Tourism chatbots, itinerary tools and public-information content need a compliance boundary that distinguishes AI output from evidence and human decisions.</x:v>
      </x:c>
      <x:c r="H3" s="76" t="str">
        <x:v>HIGH</x:v>
      </x:c>
      <x:c r="I3" s="76" t="str">
        <x:v>Two direct Commission Sources establish the applicable date and transparency duties; system-specific legal scope still requires case review.</x:v>
      </x:c>
      <x:c r="J3" s="76" t="str">
        <x:v>P1</x:v>
      </x:c>
      <x:c r="K3" s="76" t="str">
        <x:v>The rule is newly enforceable and a bounded product-content audit is possible now.</x:v>
      </x:c>
      <x:c r="L3" s="76" t="str">
        <x:v>TEST</x:v>
      </x:c>
      <x:c r="M3" s="76" t="str">
        <x:v>OPEN</x:v>
      </x:c>
      <x:c r="N3" s="76" t="str">
        <x:v>Audit one tourism chatbot flow and one public-information content flow against Article 50 before releasing AI-assisted features.</x:v>
      </x:c>
      <x:c r="O3" s="76" t="str">
        <x:v>Review when each flow has a documented in-scope/out-of-scope decision and labeling requirement.</x:v>
      </x:c>
      <x:c r="P3" s="76" t="str">
        <x:v>NOT_STARTED</x:v>
      </x:c>
      <x:c r="Q3" s="76" t="str">
        <x:v>Y</x:v>
      </x:c>
      <x:c r="R3" s="76" t="n">
        <x:f>COUNTIF('Evidence Links'!$A$2:$A$100,A3)</x:f>
        <x:v>2</x:v>
      </x:c>
      <x:c r="S3" s="76" t="n">
        <x:f>COUNTIFS('Evidence Links'!$A$2:$A$100,A3,'Evidence Links'!$C$2:$C$100,"SUPPORTS")</x:f>
        <x:v>2</x:v>
      </x:c>
      <x:c r="T3" s="76" t="n">
        <x:f>COUNTIFS('Evidence Links'!$A$2:$A$100,A3,'Evidence Links'!$C$2:$C$100,"CONTRADICTS")</x:f>
        <x:v>0</x:v>
      </x:c>
      <x:c r="U3" s="76" t="n">
        <x:f>COUNTIFS('Evidence Links'!$A$2:$A$100,A3,'Evidence Links'!$C$2:$C$100,"CONTEXTUALIZES")</x:f>
        <x:v>0</x:v>
      </x:c>
      <x:c r="V3" s="107" t="n">
        <x:v>46258</x:v>
      </x:c>
      <x:c r="W3" s="108"/>
      <x:c r="X3" s="76" t="str">
        <x:f>IF(J3&lt;&gt;"P1","N/A",IF(W3="","PENDING",IF(W3&lt;=V3+1,"YES","NO")))</x:f>
        <x:v>PENDING</x:v>
      </x:c>
      <x:c r="Y3" s="109"/>
      <x:c r="Z3" s="109"/>
      <x:c r="AA3" s="109"/>
      <x:c r="AB3" s="109"/>
      <x:c r="AC3" s="109" t="str">
        <x:v>CODEX DRAFT — confirm claim, evidence quality, priority, disposition and THE MOVE.</x:v>
      </x:c>
      <x:c r="AD3" s="109" t="str">
        <x:v>PENDING</x:v>
      </x:c>
    </x:row>
    <x:row r="4" ht="92" customHeight="1">
      <x:c r="A4" s="76" t="str">
        <x:v>S003</x:v>
      </x:c>
      <x:c r="B4" s="76" t="str">
        <x:v>Governance</x:v>
      </x:c>
      <x:c r="C4" s="107" t="n">
        <x:v>46162</x:v>
      </x:c>
      <x:c r="D4" s="107" t="n">
        <x:v>46255</x:v>
      </x:c>
      <x:c r="E4" s="76" t="str">
        <x:v>EU short-term-rental data rules now create a monthly evidence channel</x:v>
      </x:c>
      <x:c r="F4" s="76" t="str">
        <x:v>Regulation (EU) 2024/1028 applies from 20 May 2026 where Member States operate relevant registration/data schemes. It standardizes registration identifiers, platform checks and monthly data delivery through national Single Digital Entry Points.</x:v>
      </x:c>
      <x:c r="G4" s="76" t="str">
        <x:v>Destination managers may gain more systematic supply and nights data, but local availability and implementation remain jurisdiction-specific.</x:v>
      </x:c>
      <x:c r="H4" s="76" t="str">
        <x:v>HIGH</x:v>
      </x:c>
      <x:c r="I4" s="76" t="str">
        <x:v>The legal text and Commission implementation notice directly establish the framework; local operational availability is not established.</x:v>
      </x:c>
      <x:c r="J4" s="76" t="str">
        <x:v>P1</x:v>
      </x:c>
      <x:c r="K4" s="76" t="str">
        <x:v>The data channel can affect current visitor-pressure monitoring and can be verified locally now.</x:v>
      </x:c>
      <x:c r="L4" s="76" t="str">
        <x:v>TEST</x:v>
      </x:c>
      <x:c r="M4" s="76" t="str">
        <x:v>OPEN</x:v>
      </x:c>
      <x:c r="N4" s="76" t="str">
        <x:v>Map the local registration scheme, Single Digital Entry Point and fields available before redesigning short-term-rental indicators.</x:v>
      </x:c>
      <x:c r="O4" s="76" t="str">
        <x:v>Review when one jurisdiction's access path, update cadence and usable fields are verified.</x:v>
      </x:c>
      <x:c r="P4" s="76" t="str">
        <x:v>NOT_STARTED</x:v>
      </x:c>
      <x:c r="Q4" s="76" t="str">
        <x:v>Y</x:v>
      </x:c>
      <x:c r="R4" s="76" t="n">
        <x:f>COUNTIF('Evidence Links'!$A$2:$A$100,A4)</x:f>
        <x:v>2</x:v>
      </x:c>
      <x:c r="S4" s="76" t="n">
        <x:f>COUNTIFS('Evidence Links'!$A$2:$A$100,A4,'Evidence Links'!$C$2:$C$100,"SUPPORTS")</x:f>
        <x:v>2</x:v>
      </x:c>
      <x:c r="T4" s="76" t="n">
        <x:f>COUNTIFS('Evidence Links'!$A$2:$A$100,A4,'Evidence Links'!$C$2:$C$100,"CONTRADICTS")</x:f>
        <x:v>0</x:v>
      </x:c>
      <x:c r="U4" s="76" t="n">
        <x:f>COUNTIFS('Evidence Links'!$A$2:$A$100,A4,'Evidence Links'!$C$2:$C$100,"CONTEXTUALIZES")</x:f>
        <x:v>0</x:v>
      </x:c>
      <x:c r="V4" s="107" t="n">
        <x:v>46258</x:v>
      </x:c>
      <x:c r="W4" s="108"/>
      <x:c r="X4" s="76" t="str">
        <x:f>IF(J4&lt;&gt;"P1","N/A",IF(W4="","PENDING",IF(W4&lt;=V4+1,"YES","NO")))</x:f>
        <x:v>PENDING</x:v>
      </x:c>
      <x:c r="Y4" s="109"/>
      <x:c r="Z4" s="109"/>
      <x:c r="AA4" s="109"/>
      <x:c r="AB4" s="109"/>
      <x:c r="AC4" s="109" t="str">
        <x:v>CODEX DRAFT — confirm claim, evidence quality, priority, disposition and THE MOVE.</x:v>
      </x:c>
      <x:c r="AD4" s="109" t="str">
        <x:v>PENDING</x:v>
      </x:c>
    </x:row>
    <x:row r="5" ht="92" customHeight="1">
      <x:c r="A5" s="76" t="str">
        <x:v>S004</x:v>
      </x:c>
      <x:c r="B5" s="76" t="str">
        <x:v>Tourism Technology</x:v>
      </x:c>
      <x:c r="C5" s="107" t="n">
        <x:v>45610</x:v>
      </x:c>
      <x:c r="D5" s="107" t="n">
        <x:v>46255</x:v>
      </x:c>
      <x:c r="E5" s="76" t="str">
        <x:v>Booking DMA rules create formal direct-channel leverage, but realized benefit remains contested</x:v>
      </x:c>
      <x:c r="F5" s="76" t="str">
        <x:v>Booking.com must permit differentiated direct-channel prices and provide business users access to generated data under the DMA. Booking reports compliance, while 2026 parliamentary scrutiny raises concern about measures with equivalent effects; measurable hotel-level benefit is not established here.</x:v>
      </x:c>
      <x:c r="G5" s="76" t="str">
        <x:v>Local tourism businesses should not assume that a legal entitlement automatically changes price dispersion, data usability or platform dependence.</x:v>
      </x:c>
      <x:c r="H5" s="76" t="str">
        <x:v>MEDIUM</x:v>
      </x:c>
      <x:c r="I5" s="76" t="str">
        <x:v>The legal obligation is direct and credible; implementation outcomes rely on self-report and contested oversight evidence.</x:v>
      </x:c>
      <x:c r="J5" s="76" t="str">
        <x:v>P1</x:v>
      </x:c>
      <x:c r="K5" s="76" t="str">
        <x:v>An active local-business decision is affected and a small market audit can test realized leverage.</x:v>
      </x:c>
      <x:c r="L5" s="76" t="str">
        <x:v>TEST</x:v>
      </x:c>
      <x:c r="M5" s="76" t="str">
        <x:v>OPEN</x:v>
      </x:c>
      <x:c r="N5" s="76" t="str">
        <x:v>Compare direct and Booking.com prices plus available business-user exports for 20 local properties before recommending channel changes.</x:v>
      </x:c>
      <x:c r="O5" s="76" t="str">
        <x:v>Review when the 20-property audit records price gaps, export fields and any access barriers.</x:v>
      </x:c>
      <x:c r="P5" s="76" t="str">
        <x:v>NOT_STARTED</x:v>
      </x:c>
      <x:c r="Q5" s="76" t="str">
        <x:v>Y</x:v>
      </x:c>
      <x:c r="R5" s="76" t="n">
        <x:f>COUNTIF('Evidence Links'!$A$2:$A$100,A5)</x:f>
        <x:v>3</x:v>
      </x:c>
      <x:c r="S5" s="76" t="n">
        <x:f>COUNTIFS('Evidence Links'!$A$2:$A$100,A5,'Evidence Links'!$C$2:$C$100,"SUPPORTS")</x:f>
        <x:v>2</x:v>
      </x:c>
      <x:c r="T5" s="76" t="n">
        <x:f>COUNTIFS('Evidence Links'!$A$2:$A$100,A5,'Evidence Links'!$C$2:$C$100,"CONTRADICTS")</x:f>
        <x:v>1</x:v>
      </x:c>
      <x:c r="U5" s="76" t="n">
        <x:f>COUNTIFS('Evidence Links'!$A$2:$A$100,A5,'Evidence Links'!$C$2:$C$100,"CONTEXTUALIZES")</x:f>
        <x:v>0</x:v>
      </x:c>
      <x:c r="V5" s="107" t="n">
        <x:v>46258</x:v>
      </x:c>
      <x:c r="W5" s="108"/>
      <x:c r="X5" s="76" t="str">
        <x:f>IF(J5&lt;&gt;"P1","N/A",IF(W5="","PENDING",IF(W5&lt;=V5+1,"YES","NO")))</x:f>
        <x:v>PENDING</x:v>
      </x:c>
      <x:c r="Y5" s="109"/>
      <x:c r="Z5" s="109"/>
      <x:c r="AA5" s="109"/>
      <x:c r="AB5" s="109"/>
      <x:c r="AC5" s="109" t="str">
        <x:v>CODEX DRAFT — confirm claim, evidence quality, priority, disposition and THE MOVE.</x:v>
      </x:c>
      <x:c r="AD5" s="109" t="str">
        <x:v>PENDING</x:v>
      </x:c>
    </x:row>
    <x:row r="6" ht="92" customHeight="1">
      <x:c r="A6" s="76" t="str">
        <x:v>S005</x:v>
      </x:c>
      <x:c r="B6" s="76" t="str">
        <x:v>Mobility</x:v>
      </x:c>
      <x:c r="C6" s="107" t="n">
        <x:v>46122</x:v>
      </x:c>
      <x:c r="D6" s="107" t="n">
        <x:v>46255</x:v>
      </x:c>
      <x:c r="E6" s="76" t="str">
        <x:v>The EU Entry/Exit System is fully operational at external borders</x:v>
      </x:c>
      <x:c r="F6" s="76" t="str">
        <x:v>The Entry/Exit System completed progressive implementation on 10 April 2026 for short-stay non-EU travelers at participating European external borders. First entries involve biometric and personal-data capture rather than passport stamping.</x:v>
      </x:c>
      <x:c r="G6" s="76" t="str">
        <x:v>Border-process changes may alter perceived friction and arrival distributions, but no reviewed Source establishes a destination-level tourism effect.</x:v>
      </x:c>
      <x:c r="H6" s="76" t="str">
        <x:v>HIGH</x:v>
      </x:c>
      <x:c r="I6" s="76" t="str">
        <x:v>Official operational guidance directly establishes implementation and process; outcome evidence is absent.</x:v>
      </x:c>
      <x:c r="J6" s="76" t="str">
        <x:v>P2</x:v>
      </x:c>
      <x:c r="K6" s="76" t="str">
        <x:v>Relevant to mobility monitoring, but there is no immediate project decision or verified impact.</x:v>
      </x:c>
      <x:c r="L6" s="76" t="str">
        <x:v>MONITOR</x:v>
      </x:c>
      <x:c r="M6" s="76" t="str">
        <x:v>OPEN</x:v>
      </x:c>
      <x:c r="N6" s="76" t="str">
        <x:v>Track comparable wait-time or traveler-friction evidence at two relevant gateways before changing arrival assumptions.</x:v>
      </x:c>
      <x:c r="O6" s="76" t="str">
        <x:v>Review when a responsible authority publishes comparable post-rollout performance data.</x:v>
      </x:c>
      <x:c r="P6" s="76" t="str">
        <x:v>NOT_STARTED</x:v>
      </x:c>
      <x:c r="Q6" s="76" t="str">
        <x:v>Y</x:v>
      </x:c>
      <x:c r="R6" s="76" t="n">
        <x:f>COUNTIF('Evidence Links'!$A$2:$A$100,A6)</x:f>
        <x:v>1</x:v>
      </x:c>
      <x:c r="S6" s="76" t="n">
        <x:f>COUNTIFS('Evidence Links'!$A$2:$A$100,A6,'Evidence Links'!$C$2:$C$100,"SUPPORTS")</x:f>
        <x:v>1</x:v>
      </x:c>
      <x:c r="T6" s="76" t="n">
        <x:f>COUNTIFS('Evidence Links'!$A$2:$A$100,A6,'Evidence Links'!$C$2:$C$100,"CONTRADICTS")</x:f>
        <x:v>0</x:v>
      </x:c>
      <x:c r="U6" s="76" t="n">
        <x:f>COUNTIFS('Evidence Links'!$A$2:$A$100,A6,'Evidence Links'!$C$2:$C$100,"CONTEXTUALIZES")</x:f>
        <x:v>0</x:v>
      </x:c>
      <x:c r="V6" s="107" t="n">
        <x:v>46258</x:v>
      </x:c>
      <x:c r="W6" s="108"/>
      <x:c r="X6" s="76" t="str">
        <x:f>IF(J6&lt;&gt;"P1","N/A",IF(W6="","PENDING",IF(W6&lt;=V6+1,"YES","NO")))</x:f>
        <x:v>N/A</x:v>
      </x:c>
      <x:c r="Y6" s="109"/>
      <x:c r="Z6" s="109"/>
      <x:c r="AA6" s="109"/>
      <x:c r="AB6" s="109"/>
      <x:c r="AC6" s="109" t="str">
        <x:v>CODEX DRAFT — confirm claim, evidence quality, priority, disposition and THE MOVE.</x:v>
      </x:c>
      <x:c r="AD6" s="109" t="str">
        <x:v>PENDING</x:v>
      </x:c>
    </x:row>
    <x:row r="7" ht="92" customHeight="1">
      <x:c r="A7" s="76" t="str">
        <x:v>S006</x:v>
      </x:c>
      <x:c r="B7" s="76" t="str">
        <x:v>Mobility</x:v>
      </x:c>
      <x:c r="C7" s="107" t="n">
        <x:v>45716</x:v>
      </x:c>
      <x:c r="D7" s="107" t="n">
        <x:v>46255</x:v>
      </x:c>
      <x:c r="E7" s="76" t="str">
        <x:v>The 2% SAF mandate is operating, while supply remains geographically concentrated</x:v>
      </x:c>
      <x:c r="F7" s="76" t="str">
        <x:v>ReFuelEU Aviation requires a 2% sustainable aviation fuel share from 2025. Early reporting says supply is concentrated in a small group of Member States and synthetic-fuel availability remains immature.</x:v>
      </x:c>
      <x:c r="G7" s="76" t="str">
        <x:v>The policy floor belongs in transport scenarios, but it does not justify a destination-specific fare or emissions assumption without route-level evidence.</x:v>
      </x:c>
      <x:c r="H7" s="76" t="str">
        <x:v>HIGH</x:v>
      </x:c>
      <x:c r="I7" s="76" t="str">
        <x:v>Direct Commission/EASA material establishes the mandate and early supply structure.</x:v>
      </x:c>
      <x:c r="J7" s="76" t="str">
        <x:v>P3</x:v>
      </x:c>
      <x:c r="K7" s="76" t="str">
        <x:v>Credible background constraint with no current review window or bounded project decision.</x:v>
      </x:c>
      <x:c r="L7" s="76" t="str">
        <x:v>MONITOR</x:v>
      </x:c>
      <x:c r="M7" s="76" t="str">
        <x:v>OPEN</x:v>
      </x:c>
      <x:c r="N7" s="76" t="str"/>
      <x:c r="O7" s="76" t="str">
        <x:v>Review at the next EASA annual implementation report or when route-level cost data become available.</x:v>
      </x:c>
      <x:c r="P7" s="76" t="str">
        <x:v>NOT_STARTED</x:v>
      </x:c>
      <x:c r="Q7" s="76" t="str">
        <x:v>N</x:v>
      </x:c>
      <x:c r="R7" s="76" t="n">
        <x:f>COUNTIF('Evidence Links'!$A$2:$A$100,A7)</x:f>
        <x:v>2</x:v>
      </x:c>
      <x:c r="S7" s="76" t="n">
        <x:f>COUNTIFS('Evidence Links'!$A$2:$A$100,A7,'Evidence Links'!$C$2:$C$100,"SUPPORTS")</x:f>
        <x:v>1</x:v>
      </x:c>
      <x:c r="T7" s="76" t="n">
        <x:f>COUNTIFS('Evidence Links'!$A$2:$A$100,A7,'Evidence Links'!$C$2:$C$100,"CONTRADICTS")</x:f>
        <x:v>0</x:v>
      </x:c>
      <x:c r="U7" s="76" t="n">
        <x:f>COUNTIFS('Evidence Links'!$A$2:$A$100,A7,'Evidence Links'!$C$2:$C$100,"CONTEXTUALIZES")</x:f>
        <x:v>1</x:v>
      </x:c>
      <x:c r="V7" s="107" t="n">
        <x:v>46258</x:v>
      </x:c>
      <x:c r="W7" s="108"/>
      <x:c r="X7" s="76" t="str">
        <x:f>IF(J7&lt;&gt;"P1","N/A",IF(W7="","PENDING",IF(W7&lt;=V7+1,"YES","NO")))</x:f>
        <x:v>N/A</x:v>
      </x:c>
      <x:c r="Y7" s="109"/>
      <x:c r="Z7" s="109"/>
      <x:c r="AA7" s="109"/>
      <x:c r="AB7" s="109"/>
      <x:c r="AC7" s="109" t="str">
        <x:v>CODEX DRAFT — confirm claim, evidence quality, priority, disposition and THE MOVE.</x:v>
      </x:c>
      <x:c r="AD7" s="109" t="str">
        <x:v>PENDING</x:v>
      </x:c>
    </x:row>
    <x:row r="8" ht="92" customHeight="1">
      <x:c r="A8" s="76" t="str">
        <x:v>S007</x:v>
      </x:c>
      <x:c r="B8" s="76" t="str">
        <x:v>Accessibility</x:v>
      </x:c>
      <x:c r="C8" s="107" t="n">
        <x:v>45869</x:v>
      </x:c>
      <x:c r="D8" s="107" t="n">
        <x:v>46255</x:v>
      </x:c>
      <x:c r="E8" s="76" t="str">
        <x:v>EU accessibility requirements now cover tourism e-commerce and transport interfaces</x:v>
      </x:c>
      <x:c r="F8" s="76" t="str">
        <x:v>The European Accessibility Act has applied since June 2025 to covered services including e-commerce and public transport information. Tourism booking and information journeys may therefore have enforceable accessibility obligations.</x:v>
      </x:c>
      <x:c r="G8" s="76" t="str">
        <x:v>Accessibility is both a compliance constraint and a visitor-experience requirement; generic WCAG claims may not cover the full service journey.</x:v>
      </x:c>
      <x:c r="H8" s="76" t="str">
        <x:v>HIGH</x:v>
      </x:c>
      <x:c r="I8" s="76" t="str">
        <x:v>A direct Commission Source establishes application and service categories; exact product scope needs legal/product review.</x:v>
      </x:c>
      <x:c r="J8" s="76" t="str">
        <x:v>P1</x:v>
      </x:c>
      <x:c r="K8" s="76" t="str">
        <x:v>A live digital journey can be audited now and non-compliance is costly to defer.</x:v>
      </x:c>
      <x:c r="L8" s="76" t="str">
        <x:v>TEST</x:v>
      </x:c>
      <x:c r="M8" s="76" t="str">
        <x:v>OPEN</x:v>
      </x:c>
      <x:c r="N8" s="76" t="str">
        <x:v>Audit one end-to-end booking journey—including transport information and payment—against applicable EAA requirements.</x:v>
      </x:c>
      <x:c r="O8" s="76" t="str">
        <x:v>Review when blockers, owners and remediation decisions are recorded.</x:v>
      </x:c>
      <x:c r="P8" s="76" t="str">
        <x:v>NOT_STARTED</x:v>
      </x:c>
      <x:c r="Q8" s="76" t="str">
        <x:v>Y</x:v>
      </x:c>
      <x:c r="R8" s="76" t="n">
        <x:f>COUNTIF('Evidence Links'!$A$2:$A$100,A8)</x:f>
        <x:v>1</x:v>
      </x:c>
      <x:c r="S8" s="76" t="n">
        <x:f>COUNTIFS('Evidence Links'!$A$2:$A$100,A8,'Evidence Links'!$C$2:$C$100,"SUPPORTS")</x:f>
        <x:v>1</x:v>
      </x:c>
      <x:c r="T8" s="76" t="n">
        <x:f>COUNTIFS('Evidence Links'!$A$2:$A$100,A8,'Evidence Links'!$C$2:$C$100,"CONTRADICTS")</x:f>
        <x:v>0</x:v>
      </x:c>
      <x:c r="U8" s="76" t="n">
        <x:f>COUNTIFS('Evidence Links'!$A$2:$A$100,A8,'Evidence Links'!$C$2:$C$100,"CONTEXTUALIZES")</x:f>
        <x:v>0</x:v>
      </x:c>
      <x:c r="V8" s="107" t="n">
        <x:v>46258</x:v>
      </x:c>
      <x:c r="W8" s="108"/>
      <x:c r="X8" s="76" t="str">
        <x:f>IF(J8&lt;&gt;"P1","N/A",IF(W8="","PENDING",IF(W8&lt;=V8+1,"YES","NO")))</x:f>
        <x:v>PENDING</x:v>
      </x:c>
      <x:c r="Y8" s="109"/>
      <x:c r="Z8" s="109"/>
      <x:c r="AA8" s="109"/>
      <x:c r="AB8" s="109"/>
      <x:c r="AC8" s="109" t="str">
        <x:v>CODEX DRAFT — confirm claim, evidence quality, priority, disposition and THE MOVE.</x:v>
      </x:c>
      <x:c r="AD8" s="109" t="str">
        <x:v>PENDING</x:v>
      </x:c>
    </x:row>
    <x:row r="9" ht="92" customHeight="1">
      <x:c r="A9" s="76" t="str">
        <x:v>S008</x:v>
      </x:c>
      <x:c r="B9" s="76" t="str">
        <x:v>Protected Areas</x:v>
      </x:c>
      <x:c r="C9" s="107" t="n">
        <x:v>45797</x:v>
      </x:c>
      <x:c r="D9" s="107" t="n">
        <x:v>46255</x:v>
      </x:c>
      <x:c r="E9" s="76" t="str">
        <x:v>The national restoration-plan deadline creates an immediate tourism input window</x:v>
      </x:c>
      <x:c r="F9" s="76" t="str">
        <x:v>EU Member States are expected to submit draft National Restoration Plans by 1 September 2026 under the Nature Restoration Regulation. A uniform planning format is available, making the policy window concrete rather than aspirational.</x:v>
      </x:c>
      <x:c r="G9" s="76" t="str">
        <x:v>Protected-area access, restoration works and visitor management assumptions may be affected before plans harden.</x:v>
      </x:c>
      <x:c r="H9" s="76" t="str">
        <x:v>HIGH</x:v>
      </x:c>
      <x:c r="I9" s="76" t="str">
        <x:v>Regulation and implementation-tool Sources directly establish the plan requirement and deadline.</x:v>
      </x:c>
      <x:c r="J9" s="76" t="str">
        <x:v>P1</x:v>
      </x:c>
      <x:c r="K9" s="76" t="str">
        <x:v>A near-term deadline could close an input opportunity for active protected-area work.</x:v>
      </x:c>
      <x:c r="L9" s="76" t="str">
        <x:v>ADOPT</x:v>
      </x:c>
      <x:c r="M9" s="76" t="str">
        <x:v>OPEN</x:v>
      </x:c>
      <x:c r="N9" s="76" t="str">
        <x:v>Review the relevant draft national plan and log every tourism-access, visitor-management or monitoring implication before 1 September.</x:v>
      </x:c>
      <x:c r="O9" s="76" t="str">
        <x:v>Review when the draft is checked and each material implication is linked to a project decision.</x:v>
      </x:c>
      <x:c r="P9" s="76" t="str">
        <x:v>NOT_STARTED</x:v>
      </x:c>
      <x:c r="Q9" s="76" t="str">
        <x:v>Y</x:v>
      </x:c>
      <x:c r="R9" s="76" t="n">
        <x:f>COUNTIF('Evidence Links'!$A$2:$A$100,A9)</x:f>
        <x:v>2</x:v>
      </x:c>
      <x:c r="S9" s="76" t="n">
        <x:f>COUNTIFS('Evidence Links'!$A$2:$A$100,A9,'Evidence Links'!$C$2:$C$100,"SUPPORTS")</x:f>
        <x:v>2</x:v>
      </x:c>
      <x:c r="T9" s="76" t="n">
        <x:f>COUNTIFS('Evidence Links'!$A$2:$A$100,A9,'Evidence Links'!$C$2:$C$100,"CONTRADICTS")</x:f>
        <x:v>0</x:v>
      </x:c>
      <x:c r="U9" s="76" t="n">
        <x:f>COUNTIFS('Evidence Links'!$A$2:$A$100,A9,'Evidence Links'!$C$2:$C$100,"CONTEXTUALIZES")</x:f>
        <x:v>0</x:v>
      </x:c>
      <x:c r="V9" s="107" t="n">
        <x:v>46258</x:v>
      </x:c>
      <x:c r="W9" s="108"/>
      <x:c r="X9" s="76" t="str">
        <x:f>IF(J9&lt;&gt;"P1","N/A",IF(W9="","PENDING",IF(W9&lt;=V9+1,"YES","NO")))</x:f>
        <x:v>PENDING</x:v>
      </x:c>
      <x:c r="Y9" s="109"/>
      <x:c r="Z9" s="109"/>
      <x:c r="AA9" s="109"/>
      <x:c r="AB9" s="109"/>
      <x:c r="AC9" s="109" t="str">
        <x:v>CODEX DRAFT — confirm claim, evidence quality, priority, disposition and THE MOVE.</x:v>
      </x:c>
      <x:c r="AD9" s="109" t="str">
        <x:v>PENDING</x:v>
      </x:c>
    </x:row>
    <x:row r="10" ht="92" customHeight="1">
      <x:c r="A10" s="76" t="str">
        <x:v>S009</x:v>
      </x:c>
      <x:c r="B10" s="76" t="str">
        <x:v>Climate</x:v>
      </x:c>
      <x:c r="C10" s="107" t="n">
        <x:v>46141</x:v>
      </x:c>
      <x:c r="D10" s="107" t="n">
        <x:v>46255</x:v>
      </x:c>
      <x:c r="E10" s="76" t="str">
        <x:v>Heat stress is intensifying even as aggregate EU tourism nights continue to grow</x:v>
      </x:c>
      <x:c r="F10" s="76" t="str">
        <x:v>The 2025 European climate assessment reports increasing heat-stress days and severe heatwaves, while Eurostat reports record aggregate accommodation nights. Heat is an operational exposure, but aggregate growth does not establish local demand collapse or adaptation success.</x:v>
      </x:c>
      <x:c r="G10" s="76" t="str">
        <x:v>Capacity and mobility models need heat-response evidence at destination/time scale rather than an assumed Europe-wide demand effect.</x:v>
      </x:c>
      <x:c r="H10" s="76" t="str">
        <x:v>HIGH</x:v>
      </x:c>
      <x:c r="I10" s="76" t="str">
        <x:v>Authoritative climate and tourism datasets establish both trends; causal local tourism response remains unresolved.</x:v>
      </x:c>
      <x:c r="J10" s="76" t="str">
        <x:v>P1</x:v>
      </x:c>
      <x:c r="K10" s="76" t="str">
        <x:v>Active heat/capacity decisions are affected and a bounded local comparison is available.</x:v>
      </x:c>
      <x:c r="L10" s="76" t="str">
        <x:v>TEST</x:v>
      </x:c>
      <x:c r="M10" s="76" t="str">
        <x:v>OPEN</x:v>
      </x:c>
      <x:c r="N10" s="76" t="str">
        <x:v>Compare daily UTCI and visitor/mobility counts across two documented heatwave periods before changing capacity thresholds.</x:v>
      </x:c>
      <x:c r="O10" s="76" t="str">
        <x:v>Review when effect direction, lag and data limitations are documented for both periods.</x:v>
      </x:c>
      <x:c r="P10" s="76" t="str">
        <x:v>NOT_STARTED</x:v>
      </x:c>
      <x:c r="Q10" s="76" t="str">
        <x:v>Y</x:v>
      </x:c>
      <x:c r="R10" s="76" t="n">
        <x:f>COUNTIF('Evidence Links'!$A$2:$A$100,A10)</x:f>
        <x:v>3</x:v>
      </x:c>
      <x:c r="S10" s="76" t="n">
        <x:f>COUNTIFS('Evidence Links'!$A$2:$A$100,A10,'Evidence Links'!$C$2:$C$100,"SUPPORTS")</x:f>
        <x:v>2</x:v>
      </x:c>
      <x:c r="T10" s="76" t="n">
        <x:f>COUNTIFS('Evidence Links'!$A$2:$A$100,A10,'Evidence Links'!$C$2:$C$100,"CONTRADICTS")</x:f>
        <x:v>1</x:v>
      </x:c>
      <x:c r="U10" s="76" t="n">
        <x:f>COUNTIFS('Evidence Links'!$A$2:$A$100,A10,'Evidence Links'!$C$2:$C$100,"CONTEXTUALIZES")</x:f>
        <x:v>0</x:v>
      </x:c>
      <x:c r="V10" s="107" t="n">
        <x:v>46258</x:v>
      </x:c>
      <x:c r="W10" s="108"/>
      <x:c r="X10" s="76" t="str">
        <x:f>IF(J10&lt;&gt;"P1","N/A",IF(W10="","PENDING",IF(W10&lt;=V10+1,"YES","NO")))</x:f>
        <x:v>PENDING</x:v>
      </x:c>
      <x:c r="Y10" s="109"/>
      <x:c r="Z10" s="109"/>
      <x:c r="AA10" s="109"/>
      <x:c r="AB10" s="109"/>
      <x:c r="AC10" s="109" t="str">
        <x:v>CODEX DRAFT — confirm claim, evidence quality, priority, disposition and THE MOVE.</x:v>
      </x:c>
      <x:c r="AD10" s="109" t="str">
        <x:v>PENDING</x:v>
      </x:c>
    </x:row>
    <x:row r="11" ht="92" customHeight="1">
      <x:c r="A11" s="76" t="str">
        <x:v>S010</x:v>
      </x:c>
      <x:c r="B11" s="76" t="str">
        <x:v>Wildfire</x:v>
      </x:c>
      <x:c r="C11" s="107" t="n">
        <x:v>46112</x:v>
      </x:c>
      <x:c r="D11" s="107" t="n">
        <x:v>46255</x:v>
      </x:c>
      <x:c r="E11" s="76" t="str">
        <x:v>Record wildfire exposure raises a protected-area capacity question, not an automatic threshold</x:v>
      </x:c>
      <x:c r="F11" s="76" t="str">
        <x:v>EFFIS recorded the EU's largest burnt area in 2025, including substantial Natura 2000 exposure. By 1 July 2026 burnt area was below 2025 but fire counts remained above the 20-year average, so simple year-on-year escalation is not supported.</x:v>
      </x:c>
      <x:c r="G11" s="76" t="str">
        <x:v>Visitor/vehicle capacity should reflect actual restriction and response rules, not burnt-area headlines alone.</x:v>
      </x:c>
      <x:c r="H11" s="76" t="str">
        <x:v>HIGH</x:v>
      </x:c>
      <x:c r="I11" s="76" t="str">
        <x:v>Direct EFFIS/JRC reporting supports the historical record and 2026 comparison; local access effects are unvalidated.</x:v>
      </x:c>
      <x:c r="J11" s="76" t="str">
        <x:v>P1</x:v>
      </x:c>
      <x:c r="K11" s="76" t="str">
        <x:v>Active protected-area decisions are exposed and a bounded restriction-threshold test can be run.</x:v>
      </x:c>
      <x:c r="L11" s="76" t="str">
        <x:v>TEST</x:v>
      </x:c>
      <x:c r="M11" s="76" t="str">
        <x:v>OPEN</x:v>
      </x:c>
      <x:c r="N11" s="76" t="str">
        <x:v>Overlay closures/fire-danger levels with admissible visitor and vehicle thresholds for two protected sites before revising the capacity model.</x:v>
      </x:c>
      <x:c r="O11" s="76" t="str">
        <x:v>Review when the two-site analysis shows whether restrictions change the binding threshold.</x:v>
      </x:c>
      <x:c r="P11" s="76" t="str">
        <x:v>NOT_STARTED</x:v>
      </x:c>
      <x:c r="Q11" s="76" t="str">
        <x:v>Y</x:v>
      </x:c>
      <x:c r="R11" s="76" t="n">
        <x:f>COUNTIF('Evidence Links'!$A$2:$A$100,A11)</x:f>
        <x:v>2</x:v>
      </x:c>
      <x:c r="S11" s="76" t="n">
        <x:f>COUNTIFS('Evidence Links'!$A$2:$A$100,A11,'Evidence Links'!$C$2:$C$100,"SUPPORTS")</x:f>
        <x:v>1</x:v>
      </x:c>
      <x:c r="T11" s="76" t="n">
        <x:f>COUNTIFS('Evidence Links'!$A$2:$A$100,A11,'Evidence Links'!$C$2:$C$100,"CONTRADICTS")</x:f>
        <x:v>1</x:v>
      </x:c>
      <x:c r="U11" s="76" t="n">
        <x:f>COUNTIFS('Evidence Links'!$A$2:$A$100,A11,'Evidence Links'!$C$2:$C$100,"CONTEXTUALIZES")</x:f>
        <x:v>0</x:v>
      </x:c>
      <x:c r="V11" s="107" t="n">
        <x:v>46258</x:v>
      </x:c>
      <x:c r="W11" s="108"/>
      <x:c r="X11" s="76" t="str">
        <x:f>IF(J11&lt;&gt;"P1","N/A",IF(W11="","PENDING",IF(W11&lt;=V11+1,"YES","NO")))</x:f>
        <x:v>PENDING</x:v>
      </x:c>
      <x:c r="Y11" s="109"/>
      <x:c r="Z11" s="109"/>
      <x:c r="AA11" s="109"/>
      <x:c r="AB11" s="109"/>
      <x:c r="AC11" s="109" t="str">
        <x:v>CODEX DRAFT — confirm claim, evidence quality, priority, disposition and THE MOVE.</x:v>
      </x:c>
      <x:c r="AD11" s="109" t="str">
        <x:v>PENDING</x:v>
      </x:c>
    </x:row>
    <x:row r="12" ht="92" customHeight="1">
      <x:c r="A12" s="76" t="str">
        <x:v>S011</x:v>
      </x:c>
      <x:c r="B12" s="76" t="str">
        <x:v>Water</x:v>
      </x:c>
      <x:c r="C12" s="107" t="n">
        <x:v>45812</x:v>
      </x:c>
      <x:c r="D12" s="107" t="n">
        <x:v>46255</x:v>
      </x:c>
      <x:c r="E12" s="76" t="str">
        <x:v>The EU water-efficiency target makes tourism water use an operational benchmark</x:v>
      </x:c>
      <x:c r="F12" s="76" t="str">
        <x:v>The EU Water Resilience Strategy targets at least 10% greater water efficiency by 2030. EEA evidence identifies tourism pressure in water-scarce areas and estimates 10–30% sectoral savings potential, while noting substantial data uncertainty.</x:v>
      </x:c>
      <x:c r="G12" s="76" t="str">
        <x:v>Destinations need measured facility/basin baselines before converting an EU target into visitor or accommodation constraints.</x:v>
      </x:c>
      <x:c r="H12" s="76" t="str">
        <x:v>MEDIUM</x:v>
      </x:c>
      <x:c r="I12" s="76" t="str">
        <x:v>Policy direction and regional pressure are credible; tourism saving ranges are broad and local transferability is uncertain.</x:v>
      </x:c>
      <x:c r="J12" s="76" t="str">
        <x:v>P2</x:v>
      </x:c>
      <x:c r="K12" s="76" t="str">
        <x:v>Relevant and testable, but no immediate deadline or verified project threshold exists.</x:v>
      </x:c>
      <x:c r="L12" s="76" t="str">
        <x:v>TEST</x:v>
      </x:c>
      <x:c r="M12" s="76" t="str">
        <x:v>OPEN</x:v>
      </x:c>
      <x:c r="N12" s="76" t="str">
        <x:v>Run a one-site water audit and compare feasible savings with the 10% policy benchmark before adding a capacity constraint.</x:v>
      </x:c>
      <x:c r="O12" s="76" t="str">
        <x:v>Review when baseline use, seasonal peak and feasible interventions are documented.</x:v>
      </x:c>
      <x:c r="P12" s="76" t="str">
        <x:v>NOT_STARTED</x:v>
      </x:c>
      <x:c r="Q12" s="76" t="str">
        <x:v>Y</x:v>
      </x:c>
      <x:c r="R12" s="76" t="n">
        <x:f>COUNTIF('Evidence Links'!$A$2:$A$100,A12)</x:f>
        <x:v>3</x:v>
      </x:c>
      <x:c r="S12" s="76" t="n">
        <x:f>COUNTIFS('Evidence Links'!$A$2:$A$100,A12,'Evidence Links'!$C$2:$C$100,"SUPPORTS")</x:f>
        <x:v>2</x:v>
      </x:c>
      <x:c r="T12" s="76" t="n">
        <x:f>COUNTIFS('Evidence Links'!$A$2:$A$100,A12,'Evidence Links'!$C$2:$C$100,"CONTRADICTS")</x:f>
        <x:v>0</x:v>
      </x:c>
      <x:c r="U12" s="76" t="n">
        <x:f>COUNTIFS('Evidence Links'!$A$2:$A$100,A12,'Evidence Links'!$C$2:$C$100,"CONTEXTUALIZES")</x:f>
        <x:v>1</x:v>
      </x:c>
      <x:c r="V12" s="107" t="n">
        <x:v>46258</x:v>
      </x:c>
      <x:c r="W12" s="108"/>
      <x:c r="X12" s="76" t="str">
        <x:f>IF(J12&lt;&gt;"P1","N/A",IF(W12="","PENDING",IF(W12&lt;=V12+1,"YES","NO")))</x:f>
        <x:v>N/A</x:v>
      </x:c>
      <x:c r="Y12" s="109"/>
      <x:c r="Z12" s="109"/>
      <x:c r="AA12" s="109"/>
      <x:c r="AB12" s="109"/>
      <x:c r="AC12" s="109" t="str">
        <x:v>CODEX DRAFT — confirm claim, evidence quality, priority, disposition and THE MOVE.</x:v>
      </x:c>
      <x:c r="AD12" s="109" t="str">
        <x:v>PENDING</x:v>
      </x:c>
    </x:row>
    <x:row r="13" ht="92" customHeight="1">
      <x:c r="A13" s="76" t="str">
        <x:v>S012</x:v>
      </x:c>
      <x:c r="B13" s="76" t="str">
        <x:v>Tourism Data</x:v>
      </x:c>
      <x:c r="C13" s="107" t="n">
        <x:v>46113</x:v>
      </x:c>
      <x:c r="D13" s="107" t="n">
        <x:v>46255</x:v>
      </x:c>
      <x:c r="E13" s="76" t="str">
        <x:v>Platform-booked short stays grew far faster than total accommodation nights in 2025</x:v>
      </x:c>
      <x:c r="F13" s="76" t="str">
        <x:v>Eurostat reports platform-booked short-stay nights up 11.4% in 2025, versus 2.2% growth in total tourist-accommodation nights. Different scopes prevent direct subtraction, but the divergence is large enough to test locally.</x:v>
      </x:c>
      <x:c r="G13" s="76" t="str">
        <x:v>Aggregate totals may understate the speed and spatial concentration of platform-mediated visitor pressure.</x:v>
      </x:c>
      <x:c r="H13" s="76" t="str">
        <x:v>HIGH</x:v>
      </x:c>
      <x:c r="I13" s="76" t="str">
        <x:v>Two transparent Eurostat series directly establish their respective growth rates; matched local comparability remains to be tested.</x:v>
      </x:c>
      <x:c r="J13" s="76" t="str">
        <x:v>P1</x:v>
      </x:c>
      <x:c r="K13" s="76" t="str">
        <x:v>The divergence can change active visitor-pressure indicators and a local comparison is available.</x:v>
      </x:c>
      <x:c r="L13" s="76" t="str">
        <x:v>TEST</x:v>
      </x:c>
      <x:c r="M13" s="76" t="str">
        <x:v>OPEN</x:v>
      </x:c>
      <x:c r="N13" s="76" t="str">
        <x:v>Calculate the local platform-versus-total nights growth using matched geography and definitions before changing pressure indicators.</x:v>
      </x:c>
      <x:c r="O13" s="76" t="str">
        <x:v>Review when scope differences, coverage and local growth rates are reconciled.</x:v>
      </x:c>
      <x:c r="P13" s="76" t="str">
        <x:v>NOT_STARTED</x:v>
      </x:c>
      <x:c r="Q13" s="76" t="str">
        <x:v>Y</x:v>
      </x:c>
      <x:c r="R13" s="76" t="n">
        <x:f>COUNTIF('Evidence Links'!$A$2:$A$100,A13)</x:f>
        <x:v>2</x:v>
      </x:c>
      <x:c r="S13" s="76" t="n">
        <x:f>COUNTIFS('Evidence Links'!$A$2:$A$100,A13,'Evidence Links'!$C$2:$C$100,"SUPPORTS")</x:f>
        <x:v>2</x:v>
      </x:c>
      <x:c r="T13" s="76" t="n">
        <x:f>COUNTIFS('Evidence Links'!$A$2:$A$100,A13,'Evidence Links'!$C$2:$C$100,"CONTRADICTS")</x:f>
        <x:v>0</x:v>
      </x:c>
      <x:c r="U13" s="76" t="n">
        <x:f>COUNTIFS('Evidence Links'!$A$2:$A$100,A13,'Evidence Links'!$C$2:$C$100,"CONTEXTUALIZES")</x:f>
        <x:v>0</x:v>
      </x:c>
      <x:c r="V13" s="107" t="n">
        <x:v>46258</x:v>
      </x:c>
      <x:c r="W13" s="108"/>
      <x:c r="X13" s="76" t="str">
        <x:f>IF(J13&lt;&gt;"P1","N/A",IF(W13="","PENDING",IF(W13&lt;=V13+1,"YES","NO")))</x:f>
        <x:v>PENDING</x:v>
      </x:c>
      <x:c r="Y13" s="109"/>
      <x:c r="Z13" s="109"/>
      <x:c r="AA13" s="109"/>
      <x:c r="AB13" s="109"/>
      <x:c r="AC13" s="109" t="str">
        <x:v>CODEX DRAFT — confirm claim, evidence quality, priority, disposition and THE MOVE.</x:v>
      </x:c>
      <x:c r="AD13" s="109" t="str">
        <x:v>PENDING</x:v>
      </x:c>
    </x:row>
    <x:row r="14" ht="92" customHeight="1">
      <x:c r="A14" s="76" t="str">
        <x:v>S013</x:v>
      </x:c>
      <x:c r="B14" s="76" t="str">
        <x:v>Mobility Data</x:v>
      </x:c>
      <x:c r="C14" s="107" t="n">
        <x:v>45912</x:v>
      </x:c>
      <x:c r="D14" s="107" t="n">
        <x:v>46255</x:v>
      </x:c>
      <x:c r="E14" s="76" t="str">
        <x:v>The Data Act opens connected-vehicle data access, not automatic destination access</x:v>
      </x:c>
      <x:c r="F14" s="76" t="str">
        <x:v>The EU Data Act now gives users access/share rights for raw data from connected products, and the Commission has vehicle-specific guidance. Those rights depend on user/data-holder roles and do not automatically grant destinations access to fleet mobility data.</x:v>
      </x:c>
      <x:c r="G14" s="76" t="str">
        <x:v>A legal opening may support new mobility indicators, but governance and availability must be proven before architecture changes.</x:v>
      </x:c>
      <x:c r="H14" s="76" t="str">
        <x:v>MEDIUM</x:v>
      </x:c>
      <x:c r="I14" s="76" t="str">
        <x:v>Direct legal guidance supports access rights; public-sector destination transferability is explicitly limited.</x:v>
      </x:c>
      <x:c r="J14" s="76" t="str">
        <x:v>P2</x:v>
      </x:c>
      <x:c r="K14" s="76" t="str">
        <x:v>Potentially relevant with a bounded data-holder inquiry, but no immediate decision window.</x:v>
      </x:c>
      <x:c r="L14" s="76" t="str">
        <x:v>TEST</x:v>
      </x:c>
      <x:c r="M14" s="76" t="str">
        <x:v>OPEN</x:v>
      </x:c>
      <x:c r="N14" s="76" t="str">
        <x:v>Ask one fleet or vehicle data holder for the exact available fields, user rights and lawful sharing path before designing an indicator.</x:v>
      </x:c>
      <x:c r="O14" s="76" t="str">
        <x:v>Review when a sample schema, access decision and legal basis are documented.</x:v>
      </x:c>
      <x:c r="P14" s="76" t="str">
        <x:v>NOT_STARTED</x:v>
      </x:c>
      <x:c r="Q14" s="76" t="str">
        <x:v>Y</x:v>
      </x:c>
      <x:c r="R14" s="76" t="n">
        <x:f>COUNTIF('Evidence Links'!$A$2:$A$100,A14)</x:f>
        <x:v>2</x:v>
      </x:c>
      <x:c r="S14" s="76" t="n">
        <x:f>COUNTIFS('Evidence Links'!$A$2:$A$100,A14,'Evidence Links'!$C$2:$C$100,"SUPPORTS")</x:f>
        <x:v>1</x:v>
      </x:c>
      <x:c r="T14" s="76" t="n">
        <x:f>COUNTIFS('Evidence Links'!$A$2:$A$100,A14,'Evidence Links'!$C$2:$C$100,"CONTRADICTS")</x:f>
        <x:v>0</x:v>
      </x:c>
      <x:c r="U14" s="76" t="n">
        <x:f>COUNTIFS('Evidence Links'!$A$2:$A$100,A14,'Evidence Links'!$C$2:$C$100,"CONTEXTUALIZES")</x:f>
        <x:v>1</x:v>
      </x:c>
      <x:c r="V14" s="107" t="n">
        <x:v>46258</x:v>
      </x:c>
      <x:c r="W14" s="108"/>
      <x:c r="X14" s="76" t="str">
        <x:f>IF(J14&lt;&gt;"P1","N/A",IF(W14="","PENDING",IF(W14&lt;=V14+1,"YES","NO")))</x:f>
        <x:v>N/A</x:v>
      </x:c>
      <x:c r="Y14" s="109"/>
      <x:c r="Z14" s="109"/>
      <x:c r="AA14" s="109"/>
      <x:c r="AB14" s="109"/>
      <x:c r="AC14" s="109" t="str">
        <x:v>CODEX DRAFT — confirm claim, evidence quality, priority, disposition and THE MOVE.</x:v>
      </x:c>
      <x:c r="AD14" s="109" t="str">
        <x:v>PENDING</x:v>
      </x:c>
    </x:row>
    <x:row r="15" ht="92" customHeight="1">
      <x:c r="A15" s="76" t="str">
        <x:v>S014</x:v>
      </x:c>
      <x:c r="B15" s="76" t="str">
        <x:v>Tourism Data</x:v>
      </x:c>
      <x:c r="C15" s="107" t="n">
        <x:v>45923</x:v>
      </x:c>
      <x:c r="D15" s="107" t="n">
        <x:v>46255</x:v>
      </x:c>
      <x:c r="E15" s="76" t="str">
        <x:v>MNO mobility data is promising but not decision-grade without bias validation</x:v>
      </x:c>
      <x:c r="F15" s="76" t="str">
        <x:v>European statistical bodies document tourism use cases for mobile-network data, but also unresolved privacy, access and methodological barriers. Recent mobility-data research shows coverage bias can vary by source and place.</x:v>
      </x:c>
      <x:c r="G15" s="76" t="str">
        <x:v>Visitor-pressure decisions could become precise-looking but systematically biased if representativeness is not tested against ground truth.</x:v>
      </x:c>
      <x:c r="H15" s="76" t="str">
        <x:v>MEDIUM</x:v>
      </x:c>
      <x:c r="I15" s="76" t="str">
        <x:v>Official use cases support feasibility; methodological guidance and a recent unreviewed preprint challenge unqualified representativeness.</x:v>
      </x:c>
      <x:c r="J15" s="76" t="str">
        <x:v>P1</x:v>
      </x:c>
      <x:c r="K15" s="76" t="str">
        <x:v>An active visitor-pressure decision is affected and a small validation can prevent false precision.</x:v>
      </x:c>
      <x:c r="L15" s="76" t="str">
        <x:v>TEST</x:v>
      </x:c>
      <x:c r="M15" s="76" t="str">
        <x:v>OPEN</x:v>
      </x:c>
      <x:c r="N15" s="76" t="str">
        <x:v>Benchmark one MNO-derived series against counters or official counts across resident-heavy and visitor-heavy zones before using it operationally.</x:v>
      </x:c>
      <x:c r="O15" s="76" t="str">
        <x:v>Review when bias by zone/time and missing-population limitations are quantified.</x:v>
      </x:c>
      <x:c r="P15" s="76" t="str">
        <x:v>NOT_STARTED</x:v>
      </x:c>
      <x:c r="Q15" s="76" t="str">
        <x:v>Y</x:v>
      </x:c>
      <x:c r="R15" s="76" t="n">
        <x:f>COUNTIF('Evidence Links'!$A$2:$A$100,A15)</x:f>
        <x:v>3</x:v>
      </x:c>
      <x:c r="S15" s="76" t="n">
        <x:f>COUNTIFS('Evidence Links'!$A$2:$A$100,A15,'Evidence Links'!$C$2:$C$100,"SUPPORTS")</x:f>
        <x:v>2</x:v>
      </x:c>
      <x:c r="T15" s="76" t="n">
        <x:f>COUNTIFS('Evidence Links'!$A$2:$A$100,A15,'Evidence Links'!$C$2:$C$100,"CONTRADICTS")</x:f>
        <x:v>1</x:v>
      </x:c>
      <x:c r="U15" s="76" t="n">
        <x:f>COUNTIFS('Evidence Links'!$A$2:$A$100,A15,'Evidence Links'!$C$2:$C$100,"CONTEXTUALIZES")</x:f>
        <x:v>0</x:v>
      </x:c>
      <x:c r="V15" s="107" t="n">
        <x:v>46258</x:v>
      </x:c>
      <x:c r="W15" s="108"/>
      <x:c r="X15" s="76" t="str">
        <x:f>IF(J15&lt;&gt;"P1","N/A",IF(W15="","PENDING",IF(W15&lt;=V15+1,"YES","NO")))</x:f>
        <x:v>PENDING</x:v>
      </x:c>
      <x:c r="Y15" s="109"/>
      <x:c r="Z15" s="109"/>
      <x:c r="AA15" s="109"/>
      <x:c r="AB15" s="109"/>
      <x:c r="AC15" s="109" t="str">
        <x:v>CODEX DRAFT — confirm claim, evidence quality, priority, disposition and THE MOVE.</x:v>
      </x:c>
      <x:c r="AD15" s="109" t="str">
        <x:v>PENDING</x:v>
      </x:c>
    </x:row>
    <x:row r="16" ht="92" customHeight="1">
      <x:c r="A16" s="76" t="str">
        <x:v>S015</x:v>
      </x:c>
      <x:c r="B16" s="76" t="str">
        <x:v>Data Governance</x:v>
      </x:c>
      <x:c r="C16" s="107" t="n">
        <x:v>46195</x:v>
      </x:c>
      <x:c r="D16" s="107" t="n">
        <x:v>46255</x:v>
      </x:c>
      <x:c r="E16" s="76" t="str">
        <x:v>Tourism data-space rollout remains an integration watch, not a production dependency</x:v>
      </x:c>
      <x:c r="F16" s="76" t="str">
        <x:v>The Commission continues to list DeployTour and the earlier DATES action under the tourism data-space rollout. The reviewed material describes policy intent and named initiatives but does not establish a stable API catalogue, governance contract or production dataset for this user's projects.</x:v>
      </x:c>
      <x:c r="G16" s="76" t="str">
        <x:v>Designing around a data space before verifying usable assets risks architecture for hypothetical availability.</x:v>
      </x:c>
      <x:c r="H16" s="76" t="str">
        <x:v>MEDIUM</x:v>
      </x:c>
      <x:c r="I16" s="76" t="str">
        <x:v>Official policy Sources establish the initiative; operational readiness is not evidenced.</x:v>
      </x:c>
      <x:c r="J16" s="76" t="str">
        <x:v>P3</x:v>
      </x:c>
      <x:c r="K16" s="76" t="str">
        <x:v>Worth monitoring, but no verified asset or current project decision justifies work now.</x:v>
      </x:c>
      <x:c r="L16" s="76" t="str">
        <x:v>MONITOR</x:v>
      </x:c>
      <x:c r="M16" s="76" t="str">
        <x:v>OPEN</x:v>
      </x:c>
      <x:c r="N16" s="76" t="str"/>
      <x:c r="O16" s="76" t="str">
        <x:v>Review when DeployTour publishes an accessible catalogue, governance terms and at least two project-relevant datasets.</x:v>
      </x:c>
      <x:c r="P16" s="76" t="str">
        <x:v>NOT_STARTED</x:v>
      </x:c>
      <x:c r="Q16" s="76" t="str">
        <x:v>N</x:v>
      </x:c>
      <x:c r="R16" s="76" t="n">
        <x:f>COUNTIF('Evidence Links'!$A$2:$A$100,A16)</x:f>
        <x:v>2</x:v>
      </x:c>
      <x:c r="S16" s="76" t="n">
        <x:f>COUNTIFS('Evidence Links'!$A$2:$A$100,A16,'Evidence Links'!$C$2:$C$100,"SUPPORTS")</x:f>
        <x:v>1</x:v>
      </x:c>
      <x:c r="T16" s="76" t="n">
        <x:f>COUNTIFS('Evidence Links'!$A$2:$A$100,A16,'Evidence Links'!$C$2:$C$100,"CONTRADICTS")</x:f>
        <x:v>0</x:v>
      </x:c>
      <x:c r="U16" s="76" t="n">
        <x:f>COUNTIFS('Evidence Links'!$A$2:$A$100,A16,'Evidence Links'!$C$2:$C$100,"CONTEXTUALIZES")</x:f>
        <x:v>1</x:v>
      </x:c>
      <x:c r="V16" s="107" t="n">
        <x:v>46258</x:v>
      </x:c>
      <x:c r="W16" s="108"/>
      <x:c r="X16" s="76" t="str">
        <x:f>IF(J16&lt;&gt;"P1","N/A",IF(W16="","PENDING",IF(W16&lt;=V16+1,"YES","NO")))</x:f>
        <x:v>N/A</x:v>
      </x:c>
      <x:c r="Y16" s="109"/>
      <x:c r="Z16" s="109"/>
      <x:c r="AA16" s="109"/>
      <x:c r="AB16" s="109"/>
      <x:c r="AC16" s="109" t="str">
        <x:v>CODEX DRAFT — confirm claim, evidence quality, priority, disposition and THE MOVE.</x:v>
      </x:c>
      <x:c r="AD16" s="109" t="str">
        <x:v>PENDING</x:v>
      </x:c>
    </x:row>
    <x:row r="17">
      <x:c r="A17" s="75"/>
      <x:c r="B17" s="75"/>
      <x:c r="C17" s="110"/>
      <x:c r="D17" s="110"/>
      <x:c r="E17" s="75"/>
      <x:c r="F17" s="75"/>
      <x:c r="G17" s="75"/>
      <x:c r="H17" s="75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110"/>
      <x:c r="W17" s="110"/>
      <x:c r="X17" s="75"/>
      <x:c r="Y17" s="75"/>
      <x:c r="Z17" s="75"/>
      <x:c r="AA17" s="75"/>
      <x:c r="AB17" s="75"/>
      <x:c r="AC17" s="75"/>
      <x:c r="AD17" s="75"/>
    </x:row>
    <x:row r="18">
      <x:c r="A18" s="75"/>
      <x:c r="B18" s="75"/>
      <x:c r="C18" s="110"/>
      <x:c r="D18" s="110"/>
      <x:c r="E18" s="75"/>
      <x:c r="F18" s="75"/>
      <x:c r="G18" s="75"/>
      <x:c r="H18" s="75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110"/>
      <x:c r="W18" s="110"/>
      <x:c r="X18" s="75"/>
      <x:c r="Y18" s="75"/>
      <x:c r="Z18" s="75"/>
      <x:c r="AA18" s="75"/>
      <x:c r="AB18" s="75"/>
      <x:c r="AC18" s="75"/>
      <x:c r="AD18" s="75"/>
    </x:row>
    <x:row r="19">
      <x:c r="A19" s="75"/>
      <x:c r="B19" s="75"/>
      <x:c r="C19" s="110"/>
      <x:c r="D19" s="110"/>
      <x:c r="E19" s="75"/>
      <x:c r="F19" s="75"/>
      <x:c r="G19" s="75"/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110"/>
      <x:c r="W19" s="110"/>
      <x:c r="X19" s="75"/>
      <x:c r="Y19" s="75"/>
      <x:c r="Z19" s="75"/>
      <x:c r="AA19" s="75"/>
      <x:c r="AB19" s="75"/>
      <x:c r="AC19" s="75"/>
      <x:c r="AD19" s="75"/>
    </x:row>
    <x:row r="20">
      <x:c r="A20" s="75"/>
      <x:c r="B20" s="75"/>
      <x:c r="C20" s="110"/>
      <x:c r="D20" s="110"/>
      <x:c r="E20" s="75"/>
      <x:c r="F20" s="75"/>
      <x:c r="G20" s="75"/>
      <x:c r="H20" s="75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110"/>
      <x:c r="W20" s="110"/>
      <x:c r="X20" s="75"/>
      <x:c r="Y20" s="75"/>
      <x:c r="Z20" s="75"/>
      <x:c r="AA20" s="75"/>
      <x:c r="AB20" s="75"/>
      <x:c r="AC20" s="75"/>
      <x:c r="AD20" s="75"/>
    </x:row>
    <x:row r="21">
      <x:c r="A21" s="75"/>
      <x:c r="B21" s="75"/>
      <x:c r="C21" s="110"/>
      <x:c r="D21" s="110"/>
      <x:c r="E21" s="75"/>
      <x:c r="F21" s="75"/>
      <x:c r="G21" s="75"/>
      <x:c r="H21" s="75"/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110"/>
      <x:c r="W21" s="110"/>
      <x:c r="X21" s="75"/>
      <x:c r="Y21" s="75"/>
      <x:c r="Z21" s="75"/>
      <x:c r="AA21" s="75"/>
      <x:c r="AB21" s="75"/>
      <x:c r="AC21" s="75"/>
      <x:c r="AD21" s="75"/>
    </x:row>
    <x:row r="22">
      <x:c r="A22" s="75"/>
      <x:c r="B22" s="75"/>
      <x:c r="C22" s="110"/>
      <x:c r="D22" s="110"/>
      <x:c r="E22" s="75"/>
      <x:c r="F22" s="75"/>
      <x:c r="G22" s="75"/>
      <x:c r="H22" s="75"/>
      <x:c r="I22" s="75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110"/>
      <x:c r="W22" s="110"/>
      <x:c r="X22" s="75"/>
      <x:c r="Y22" s="75"/>
      <x:c r="Z22" s="75"/>
      <x:c r="AA22" s="75"/>
      <x:c r="AB22" s="75"/>
      <x:c r="AC22" s="75"/>
      <x:c r="AD22" s="75"/>
    </x:row>
    <x:row r="23">
      <x:c r="A23" s="75"/>
      <x:c r="B23" s="75"/>
      <x:c r="C23" s="110"/>
      <x:c r="D23" s="110"/>
      <x:c r="E23" s="75"/>
      <x:c r="F23" s="75"/>
      <x:c r="G23" s="75"/>
      <x:c r="H23" s="75"/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110"/>
      <x:c r="W23" s="110"/>
      <x:c r="X23" s="75"/>
      <x:c r="Y23" s="75"/>
      <x:c r="Z23" s="75"/>
      <x:c r="AA23" s="75"/>
      <x:c r="AB23" s="75"/>
      <x:c r="AC23" s="75"/>
      <x:c r="AD23" s="75"/>
    </x:row>
    <x:row r="24">
      <x:c r="A24" s="75"/>
      <x:c r="B24" s="75"/>
      <x:c r="C24" s="110"/>
      <x:c r="D24" s="110"/>
      <x:c r="E24" s="75"/>
      <x:c r="F24" s="75"/>
      <x:c r="G24" s="75"/>
      <x:c r="H24" s="75"/>
      <x:c r="I24" s="75"/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110"/>
      <x:c r="W24" s="110"/>
      <x:c r="X24" s="75"/>
      <x:c r="Y24" s="75"/>
      <x:c r="Z24" s="75"/>
      <x:c r="AA24" s="75"/>
      <x:c r="AB24" s="75"/>
      <x:c r="AC24" s="75"/>
      <x:c r="AD24" s="75"/>
    </x:row>
    <x:row r="25">
      <x:c r="A25" s="75"/>
      <x:c r="B25" s="75"/>
      <x:c r="C25" s="110"/>
      <x:c r="D25" s="110"/>
      <x:c r="E25" s="75"/>
      <x:c r="F25" s="75"/>
      <x:c r="G25" s="75"/>
      <x:c r="H25" s="75"/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110"/>
      <x:c r="W25" s="110"/>
      <x:c r="X25" s="75"/>
      <x:c r="Y25" s="75"/>
      <x:c r="Z25" s="75"/>
      <x:c r="AA25" s="75"/>
      <x:c r="AB25" s="75"/>
      <x:c r="AC25" s="75"/>
      <x:c r="AD25" s="75"/>
    </x:row>
    <x:row r="26">
      <x:c r="A26" s="75"/>
      <x:c r="B26" s="75"/>
      <x:c r="C26" s="110"/>
      <x:c r="D26" s="110"/>
      <x:c r="E26" s="75"/>
      <x:c r="F26" s="75"/>
      <x:c r="G26" s="75"/>
      <x:c r="H26" s="75"/>
      <x:c r="I26" s="75"/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110"/>
      <x:c r="W26" s="110"/>
      <x:c r="X26" s="75"/>
      <x:c r="Y26" s="75"/>
      <x:c r="Z26" s="75"/>
      <x:c r="AA26" s="75"/>
      <x:c r="AB26" s="75"/>
      <x:c r="AC26" s="75"/>
      <x:c r="AD26" s="75"/>
    </x:row>
    <x:row r="27">
      <x:c r="A27" s="75"/>
      <x:c r="B27" s="75"/>
      <x:c r="C27" s="110"/>
      <x:c r="D27" s="110"/>
      <x:c r="E27" s="75"/>
      <x:c r="F27" s="75"/>
      <x:c r="G27" s="75"/>
      <x:c r="H27" s="75"/>
      <x:c r="I27" s="75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110"/>
      <x:c r="W27" s="110"/>
      <x:c r="X27" s="75"/>
      <x:c r="Y27" s="75"/>
      <x:c r="Z27" s="75"/>
      <x:c r="AA27" s="75"/>
      <x:c r="AB27" s="75"/>
      <x:c r="AC27" s="75"/>
      <x:c r="AD27" s="75"/>
    </x:row>
    <x:row r="28">
      <x:c r="A28" s="75"/>
      <x:c r="B28" s="75"/>
      <x:c r="C28" s="110"/>
      <x:c r="D28" s="110"/>
      <x:c r="E28" s="75"/>
      <x:c r="F28" s="75"/>
      <x:c r="G28" s="75"/>
      <x:c r="H28" s="75"/>
      <x:c r="I28" s="75"/>
      <x:c r="J28" s="75"/>
      <x:c r="K28" s="75"/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110"/>
      <x:c r="W28" s="110"/>
      <x:c r="X28" s="75"/>
      <x:c r="Y28" s="75"/>
      <x:c r="Z28" s="75"/>
      <x:c r="AA28" s="75"/>
      <x:c r="AB28" s="75"/>
      <x:c r="AC28" s="75"/>
      <x:c r="AD28" s="75"/>
    </x:row>
    <x:row r="29">
      <x:c r="A29" s="75"/>
      <x:c r="B29" s="75"/>
      <x:c r="C29" s="110"/>
      <x:c r="D29" s="110"/>
      <x:c r="E29" s="75"/>
      <x:c r="F29" s="75"/>
      <x:c r="G29" s="75"/>
      <x:c r="H29" s="75"/>
      <x:c r="I29" s="75"/>
      <x:c r="J29" s="75"/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110"/>
      <x:c r="W29" s="110"/>
      <x:c r="X29" s="75"/>
      <x:c r="Y29" s="75"/>
      <x:c r="Z29" s="75"/>
      <x:c r="AA29" s="75"/>
      <x:c r="AB29" s="75"/>
      <x:c r="AC29" s="75"/>
      <x:c r="AD29" s="75"/>
    </x:row>
    <x:row r="30">
      <x:c r="A30" s="75"/>
      <x:c r="B30" s="75"/>
      <x:c r="C30" s="110"/>
      <x:c r="D30" s="110"/>
      <x:c r="E30" s="75"/>
      <x:c r="F30" s="75"/>
      <x:c r="G30" s="75"/>
      <x:c r="H30" s="75"/>
      <x:c r="I30" s="75"/>
      <x:c r="J30" s="75"/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110"/>
      <x:c r="W30" s="110"/>
      <x:c r="X30" s="75"/>
      <x:c r="Y30" s="75"/>
      <x:c r="Z30" s="75"/>
      <x:c r="AA30" s="75"/>
      <x:c r="AB30" s="75"/>
      <x:c r="AC30" s="75"/>
      <x:c r="AD30" s="75"/>
    </x:row>
    <x:row r="31">
      <x:c r="A31" s="75"/>
      <x:c r="B31" s="75"/>
      <x:c r="C31" s="110"/>
      <x:c r="D31" s="110"/>
      <x:c r="E31" s="75"/>
      <x:c r="F31" s="75"/>
      <x:c r="G31" s="75"/>
      <x:c r="H31" s="75"/>
      <x:c r="I31" s="75"/>
      <x:c r="J31" s="75"/>
      <x:c r="K31" s="75"/>
      <x:c r="L31" s="75"/>
      <x:c r="M31" s="75"/>
      <x:c r="N31" s="75"/>
      <x:c r="O31" s="75"/>
      <x:c r="P31" s="75"/>
      <x:c r="Q31" s="75"/>
      <x:c r="R31" s="75"/>
      <x:c r="S31" s="75"/>
      <x:c r="T31" s="75"/>
      <x:c r="U31" s="75"/>
      <x:c r="V31" s="110"/>
      <x:c r="W31" s="110"/>
      <x:c r="X31" s="75"/>
      <x:c r="Y31" s="75"/>
      <x:c r="Z31" s="75"/>
      <x:c r="AA31" s="75"/>
      <x:c r="AB31" s="75"/>
      <x:c r="AC31" s="75"/>
      <x:c r="AD31" s="75"/>
    </x:row>
    <x:row r="32">
      <x:c r="A32" s="75"/>
      <x:c r="B32" s="75"/>
      <x:c r="C32" s="110"/>
      <x:c r="D32" s="110"/>
      <x:c r="E32" s="75"/>
      <x:c r="F32" s="75"/>
      <x:c r="G32" s="75"/>
      <x:c r="H32" s="75"/>
      <x:c r="I32" s="75"/>
      <x:c r="J32" s="75"/>
      <x:c r="K32" s="75"/>
      <x:c r="L32" s="75"/>
      <x:c r="M32" s="75"/>
      <x:c r="N32" s="75"/>
      <x:c r="O32" s="75"/>
      <x:c r="P32" s="75"/>
      <x:c r="Q32" s="75"/>
      <x:c r="R32" s="75"/>
      <x:c r="S32" s="75"/>
      <x:c r="T32" s="75"/>
      <x:c r="U32" s="75"/>
      <x:c r="V32" s="110"/>
      <x:c r="W32" s="110"/>
      <x:c r="X32" s="75"/>
      <x:c r="Y32" s="75"/>
      <x:c r="Z32" s="75"/>
      <x:c r="AA32" s="75"/>
      <x:c r="AB32" s="75"/>
      <x:c r="AC32" s="75"/>
      <x:c r="AD32" s="75"/>
    </x:row>
    <x:row r="33">
      <x:c r="A33" s="75"/>
      <x:c r="B33" s="75"/>
      <x:c r="C33" s="110"/>
      <x:c r="D33" s="110"/>
      <x:c r="E33" s="75"/>
      <x:c r="F33" s="75"/>
      <x:c r="G33" s="75"/>
      <x:c r="H33" s="75"/>
      <x:c r="I33" s="75"/>
      <x:c r="J33" s="75"/>
      <x:c r="K33" s="75"/>
      <x:c r="L33" s="75"/>
      <x:c r="M33" s="75"/>
      <x:c r="N33" s="75"/>
      <x:c r="O33" s="75"/>
      <x:c r="P33" s="75"/>
      <x:c r="Q33" s="75"/>
      <x:c r="R33" s="75"/>
      <x:c r="S33" s="75"/>
      <x:c r="T33" s="75"/>
      <x:c r="U33" s="75"/>
      <x:c r="V33" s="110"/>
      <x:c r="W33" s="110"/>
      <x:c r="X33" s="75"/>
      <x:c r="Y33" s="75"/>
      <x:c r="Z33" s="75"/>
      <x:c r="AA33" s="75"/>
      <x:c r="AB33" s="75"/>
      <x:c r="AC33" s="75"/>
      <x:c r="AD33" s="75"/>
    </x:row>
    <x:row r="34">
      <x:c r="A34" s="75"/>
      <x:c r="B34" s="75"/>
      <x:c r="C34" s="110"/>
      <x:c r="D34" s="110"/>
      <x:c r="E34" s="75"/>
      <x:c r="F34" s="75"/>
      <x:c r="G34" s="75"/>
      <x:c r="H34" s="75"/>
      <x:c r="I34" s="75"/>
      <x:c r="J34" s="75"/>
      <x:c r="K34" s="75"/>
      <x:c r="L34" s="75"/>
      <x:c r="M34" s="75"/>
      <x:c r="N34" s="75"/>
      <x:c r="O34" s="75"/>
      <x:c r="P34" s="75"/>
      <x:c r="Q34" s="75"/>
      <x:c r="R34" s="75"/>
      <x:c r="S34" s="75"/>
      <x:c r="T34" s="75"/>
      <x:c r="U34" s="75"/>
      <x:c r="V34" s="110"/>
      <x:c r="W34" s="110"/>
      <x:c r="X34" s="75"/>
      <x:c r="Y34" s="75"/>
      <x:c r="Z34" s="75"/>
      <x:c r="AA34" s="75"/>
      <x:c r="AB34" s="75"/>
      <x:c r="AC34" s="75"/>
      <x:c r="AD34" s="75"/>
    </x:row>
    <x:row r="35">
      <x:c r="A35" s="75"/>
      <x:c r="B35" s="75"/>
      <x:c r="C35" s="110"/>
      <x:c r="D35" s="110"/>
      <x:c r="E35" s="75"/>
      <x:c r="F35" s="75"/>
      <x:c r="G35" s="75"/>
      <x:c r="H35" s="75"/>
      <x:c r="I35" s="75"/>
      <x:c r="J35" s="75"/>
      <x:c r="K35" s="75"/>
      <x:c r="L35" s="75"/>
      <x:c r="M35" s="75"/>
      <x:c r="N35" s="75"/>
      <x:c r="O35" s="75"/>
      <x:c r="P35" s="75"/>
      <x:c r="Q35" s="75"/>
      <x:c r="R35" s="75"/>
      <x:c r="S35" s="75"/>
      <x:c r="T35" s="75"/>
      <x:c r="U35" s="75"/>
      <x:c r="V35" s="110"/>
      <x:c r="W35" s="110"/>
      <x:c r="X35" s="75"/>
      <x:c r="Y35" s="75"/>
      <x:c r="Z35" s="75"/>
      <x:c r="AA35" s="75"/>
      <x:c r="AB35" s="75"/>
      <x:c r="AC35" s="75"/>
      <x:c r="AD35" s="75"/>
    </x:row>
    <x:row r="36">
      <x:c r="A36" s="75"/>
      <x:c r="B36" s="75"/>
      <x:c r="C36" s="110"/>
      <x:c r="D36" s="110"/>
      <x:c r="E36" s="75"/>
      <x:c r="F36" s="75"/>
      <x:c r="G36" s="75"/>
      <x:c r="H36" s="75"/>
      <x:c r="I36" s="75"/>
      <x:c r="J36" s="75"/>
      <x:c r="K36" s="75"/>
      <x:c r="L36" s="75"/>
      <x:c r="M36" s="75"/>
      <x:c r="N36" s="75"/>
      <x:c r="O36" s="75"/>
      <x:c r="P36" s="75"/>
      <x:c r="Q36" s="75"/>
      <x:c r="R36" s="75"/>
      <x:c r="S36" s="75"/>
      <x:c r="T36" s="75"/>
      <x:c r="U36" s="75"/>
      <x:c r="V36" s="110"/>
      <x:c r="W36" s="110"/>
      <x:c r="X36" s="75"/>
      <x:c r="Y36" s="75"/>
      <x:c r="Z36" s="75"/>
      <x:c r="AA36" s="75"/>
      <x:c r="AB36" s="75"/>
      <x:c r="AC36" s="75"/>
      <x:c r="AD36" s="75"/>
    </x:row>
    <x:row r="37">
      <x:c r="A37" s="75"/>
      <x:c r="B37" s="75"/>
      <x:c r="C37" s="110"/>
      <x:c r="D37" s="110"/>
      <x:c r="E37" s="75"/>
      <x:c r="F37" s="75"/>
      <x:c r="G37" s="75"/>
      <x:c r="H37" s="75"/>
      <x:c r="I37" s="75"/>
      <x:c r="J37" s="75"/>
      <x:c r="K37" s="75"/>
      <x:c r="L37" s="75"/>
      <x:c r="M37" s="75"/>
      <x:c r="N37" s="75"/>
      <x:c r="O37" s="75"/>
      <x:c r="P37" s="75"/>
      <x:c r="Q37" s="75"/>
      <x:c r="R37" s="75"/>
      <x:c r="S37" s="75"/>
      <x:c r="T37" s="75"/>
      <x:c r="U37" s="75"/>
      <x:c r="V37" s="110"/>
      <x:c r="W37" s="110"/>
      <x:c r="X37" s="75"/>
      <x:c r="Y37" s="75"/>
      <x:c r="Z37" s="75"/>
      <x:c r="AA37" s="75"/>
      <x:c r="AB37" s="75"/>
      <x:c r="AC37" s="75"/>
      <x:c r="AD37" s="75"/>
    </x:row>
    <x:row r="38">
      <x:c r="A38" s="75"/>
      <x:c r="B38" s="75"/>
      <x:c r="C38" s="110"/>
      <x:c r="D38" s="110"/>
      <x:c r="E38" s="75"/>
      <x:c r="F38" s="75"/>
      <x:c r="G38" s="75"/>
      <x:c r="H38" s="75"/>
      <x:c r="I38" s="75"/>
      <x:c r="J38" s="75"/>
      <x:c r="K38" s="75"/>
      <x:c r="L38" s="75"/>
      <x:c r="M38" s="75"/>
      <x:c r="N38" s="75"/>
      <x:c r="O38" s="75"/>
      <x:c r="P38" s="75"/>
      <x:c r="Q38" s="75"/>
      <x:c r="R38" s="75"/>
      <x:c r="S38" s="75"/>
      <x:c r="T38" s="75"/>
      <x:c r="U38" s="75"/>
      <x:c r="V38" s="110"/>
      <x:c r="W38" s="110"/>
      <x:c r="X38" s="75"/>
      <x:c r="Y38" s="75"/>
      <x:c r="Z38" s="75"/>
      <x:c r="AA38" s="75"/>
      <x:c r="AB38" s="75"/>
      <x:c r="AC38" s="75"/>
      <x:c r="AD38" s="75"/>
    </x:row>
    <x:row r="39">
      <x:c r="A39" s="75"/>
      <x:c r="B39" s="75"/>
      <x:c r="C39" s="110"/>
      <x:c r="D39" s="110"/>
      <x:c r="E39" s="75"/>
      <x:c r="F39" s="75"/>
      <x:c r="G39" s="75"/>
      <x:c r="H39" s="75"/>
      <x:c r="I39" s="75"/>
      <x:c r="J39" s="75"/>
      <x:c r="K39" s="75"/>
      <x:c r="L39" s="75"/>
      <x:c r="M39" s="75"/>
      <x:c r="N39" s="75"/>
      <x:c r="O39" s="75"/>
      <x:c r="P39" s="75"/>
      <x:c r="Q39" s="75"/>
      <x:c r="R39" s="75"/>
      <x:c r="S39" s="75"/>
      <x:c r="T39" s="75"/>
      <x:c r="U39" s="75"/>
      <x:c r="V39" s="110"/>
      <x:c r="W39" s="110"/>
      <x:c r="X39" s="75"/>
      <x:c r="Y39" s="75"/>
      <x:c r="Z39" s="75"/>
      <x:c r="AA39" s="75"/>
      <x:c r="AB39" s="75"/>
      <x:c r="AC39" s="75"/>
      <x:c r="AD39" s="75"/>
    </x:row>
    <x:row r="40">
      <x:c r="A40" s="75"/>
      <x:c r="B40" s="75"/>
      <x:c r="C40" s="110"/>
      <x:c r="D40" s="110"/>
      <x:c r="E40" s="75"/>
      <x:c r="F40" s="75"/>
      <x:c r="G40" s="75"/>
      <x:c r="H40" s="75"/>
      <x:c r="I40" s="75"/>
      <x:c r="J40" s="75"/>
      <x:c r="K40" s="75"/>
      <x:c r="L40" s="75"/>
      <x:c r="M40" s="75"/>
      <x:c r="N40" s="75"/>
      <x:c r="O40" s="75"/>
      <x:c r="P40" s="75"/>
      <x:c r="Q40" s="75"/>
      <x:c r="R40" s="75"/>
      <x:c r="S40" s="75"/>
      <x:c r="T40" s="75"/>
      <x:c r="U40" s="75"/>
      <x:c r="V40" s="110"/>
      <x:c r="W40" s="110"/>
      <x:c r="X40" s="75"/>
      <x:c r="Y40" s="75"/>
      <x:c r="Z40" s="75"/>
      <x:c r="AA40" s="75"/>
      <x:c r="AB40" s="75"/>
      <x:c r="AC40" s="75"/>
      <x:c r="AD40" s="75"/>
    </x:row>
    <x:row r="41">
      <x:c r="A41" s="75"/>
      <x:c r="B41" s="75"/>
      <x:c r="C41" s="110"/>
      <x:c r="D41" s="110"/>
      <x:c r="E41" s="75"/>
      <x:c r="F41" s="75"/>
      <x:c r="G41" s="75"/>
      <x:c r="H41" s="75"/>
      <x:c r="I41" s="75"/>
      <x:c r="J41" s="75"/>
      <x:c r="K41" s="75"/>
      <x:c r="L41" s="75"/>
      <x:c r="M41" s="75"/>
      <x:c r="N41" s="75"/>
      <x:c r="O41" s="75"/>
      <x:c r="P41" s="75"/>
      <x:c r="Q41" s="75"/>
      <x:c r="R41" s="75"/>
      <x:c r="S41" s="75"/>
      <x:c r="T41" s="75"/>
      <x:c r="U41" s="75"/>
      <x:c r="V41" s="110"/>
      <x:c r="W41" s="110"/>
      <x:c r="X41" s="75"/>
      <x:c r="Y41" s="75"/>
      <x:c r="Z41" s="75"/>
      <x:c r="AA41" s="75"/>
      <x:c r="AB41" s="75"/>
      <x:c r="AC41" s="75"/>
      <x:c r="AD41" s="75"/>
    </x:row>
    <x:row r="42">
      <x:c r="A42" s="75"/>
      <x:c r="B42" s="75"/>
      <x:c r="C42" s="110"/>
      <x:c r="D42" s="110"/>
      <x:c r="E42" s="75"/>
      <x:c r="F42" s="75"/>
      <x:c r="G42" s="75"/>
      <x:c r="H42" s="75"/>
      <x:c r="I42" s="75"/>
      <x:c r="J42" s="75"/>
      <x:c r="K42" s="75"/>
      <x:c r="L42" s="75"/>
      <x:c r="M42" s="75"/>
      <x:c r="N42" s="75"/>
      <x:c r="O42" s="75"/>
      <x:c r="P42" s="75"/>
      <x:c r="Q42" s="75"/>
      <x:c r="R42" s="75"/>
      <x:c r="S42" s="75"/>
      <x:c r="T42" s="75"/>
      <x:c r="U42" s="75"/>
      <x:c r="V42" s="110"/>
      <x:c r="W42" s="110"/>
      <x:c r="X42" s="75"/>
      <x:c r="Y42" s="75"/>
      <x:c r="Z42" s="75"/>
      <x:c r="AA42" s="75"/>
      <x:c r="AB42" s="75"/>
      <x:c r="AC42" s="75"/>
      <x:c r="AD42" s="75"/>
    </x:row>
    <x:row r="43">
      <x:c r="A43" s="75"/>
      <x:c r="B43" s="75"/>
      <x:c r="C43" s="110"/>
      <x:c r="D43" s="110"/>
      <x:c r="E43" s="75"/>
      <x:c r="F43" s="75"/>
      <x:c r="G43" s="75"/>
      <x:c r="H43" s="75"/>
      <x:c r="I43" s="75"/>
      <x:c r="J43" s="75"/>
      <x:c r="K43" s="75"/>
      <x:c r="L43" s="75"/>
      <x:c r="M43" s="75"/>
      <x:c r="N43" s="75"/>
      <x:c r="O43" s="75"/>
      <x:c r="P43" s="75"/>
      <x:c r="Q43" s="75"/>
      <x:c r="R43" s="75"/>
      <x:c r="S43" s="75"/>
      <x:c r="T43" s="75"/>
      <x:c r="U43" s="75"/>
      <x:c r="V43" s="110"/>
      <x:c r="W43" s="110"/>
      <x:c r="X43" s="75"/>
      <x:c r="Y43" s="75"/>
      <x:c r="Z43" s="75"/>
      <x:c r="AA43" s="75"/>
      <x:c r="AB43" s="75"/>
      <x:c r="AC43" s="75"/>
      <x:c r="AD43" s="75"/>
    </x:row>
    <x:row r="44">
      <x:c r="A44" s="75"/>
      <x:c r="B44" s="75"/>
      <x:c r="C44" s="110"/>
      <x:c r="D44" s="110"/>
      <x:c r="E44" s="75"/>
      <x:c r="F44" s="75"/>
      <x:c r="G44" s="75"/>
      <x:c r="H44" s="75"/>
      <x:c r="I44" s="75"/>
      <x:c r="J44" s="75"/>
      <x:c r="K44" s="75"/>
      <x:c r="L44" s="75"/>
      <x:c r="M44" s="75"/>
      <x:c r="N44" s="75"/>
      <x:c r="O44" s="75"/>
      <x:c r="P44" s="75"/>
      <x:c r="Q44" s="75"/>
      <x:c r="R44" s="75"/>
      <x:c r="S44" s="75"/>
      <x:c r="T44" s="75"/>
      <x:c r="U44" s="75"/>
      <x:c r="V44" s="110"/>
      <x:c r="W44" s="110"/>
      <x:c r="X44" s="75"/>
      <x:c r="Y44" s="75"/>
      <x:c r="Z44" s="75"/>
      <x:c r="AA44" s="75"/>
      <x:c r="AB44" s="75"/>
      <x:c r="AC44" s="75"/>
      <x:c r="AD44" s="75"/>
    </x:row>
    <x:row r="45">
      <x:c r="A45" s="75"/>
      <x:c r="B45" s="75"/>
      <x:c r="C45" s="110"/>
      <x:c r="D45" s="110"/>
      <x:c r="E45" s="75"/>
      <x:c r="F45" s="75"/>
      <x:c r="G45" s="75"/>
      <x:c r="H45" s="75"/>
      <x:c r="I45" s="75"/>
      <x:c r="J45" s="75"/>
      <x:c r="K45" s="75"/>
      <x:c r="L45" s="75"/>
      <x:c r="M45" s="75"/>
      <x:c r="N45" s="75"/>
      <x:c r="O45" s="75"/>
      <x:c r="P45" s="75"/>
      <x:c r="Q45" s="75"/>
      <x:c r="R45" s="75"/>
      <x:c r="S45" s="75"/>
      <x:c r="T45" s="75"/>
      <x:c r="U45" s="75"/>
      <x:c r="V45" s="110"/>
      <x:c r="W45" s="110"/>
      <x:c r="X45" s="75"/>
      <x:c r="Y45" s="75"/>
      <x:c r="Z45" s="75"/>
      <x:c r="AA45" s="75"/>
      <x:c r="AB45" s="75"/>
      <x:c r="AC45" s="75"/>
      <x:c r="AD45" s="75"/>
    </x:row>
    <x:row r="46">
      <x:c r="A46" s="75"/>
      <x:c r="B46" s="75"/>
      <x:c r="C46" s="110"/>
      <x:c r="D46" s="110"/>
      <x:c r="E46" s="75"/>
      <x:c r="F46" s="75"/>
      <x:c r="G46" s="75"/>
      <x:c r="H46" s="75"/>
      <x:c r="I46" s="75"/>
      <x:c r="J46" s="75"/>
      <x:c r="K46" s="75"/>
      <x:c r="L46" s="75"/>
      <x:c r="M46" s="75"/>
      <x:c r="N46" s="75"/>
      <x:c r="O46" s="75"/>
      <x:c r="P46" s="75"/>
      <x:c r="Q46" s="75"/>
      <x:c r="R46" s="75"/>
      <x:c r="S46" s="75"/>
      <x:c r="T46" s="75"/>
      <x:c r="U46" s="75"/>
      <x:c r="V46" s="110"/>
      <x:c r="W46" s="110"/>
      <x:c r="X46" s="75"/>
      <x:c r="Y46" s="75"/>
      <x:c r="Z46" s="75"/>
      <x:c r="AA46" s="75"/>
      <x:c r="AB46" s="75"/>
      <x:c r="AC46" s="75"/>
      <x:c r="AD46" s="75"/>
    </x:row>
    <x:row r="47">
      <x:c r="A47" s="75"/>
      <x:c r="B47" s="75"/>
      <x:c r="C47" s="110"/>
      <x:c r="D47" s="110"/>
      <x:c r="E47" s="75"/>
      <x:c r="F47" s="75"/>
      <x:c r="G47" s="75"/>
      <x:c r="H47" s="75"/>
      <x:c r="I47" s="75"/>
      <x:c r="J47" s="75"/>
      <x:c r="K47" s="75"/>
      <x:c r="L47" s="75"/>
      <x:c r="M47" s="75"/>
      <x:c r="N47" s="75"/>
      <x:c r="O47" s="75"/>
      <x:c r="P47" s="75"/>
      <x:c r="Q47" s="75"/>
      <x:c r="R47" s="75"/>
      <x:c r="S47" s="75"/>
      <x:c r="T47" s="75"/>
      <x:c r="U47" s="75"/>
      <x:c r="V47" s="110"/>
      <x:c r="W47" s="110"/>
      <x:c r="X47" s="75"/>
      <x:c r="Y47" s="75"/>
      <x:c r="Z47" s="75"/>
      <x:c r="AA47" s="75"/>
      <x:c r="AB47" s="75"/>
      <x:c r="AC47" s="75"/>
      <x:c r="AD47" s="75"/>
    </x:row>
    <x:row r="48">
      <x:c r="A48" s="75"/>
      <x:c r="B48" s="75"/>
      <x:c r="C48" s="110"/>
      <x:c r="D48" s="110"/>
      <x:c r="E48" s="75"/>
      <x:c r="F48" s="75"/>
      <x:c r="G48" s="75"/>
      <x:c r="H48" s="75"/>
      <x:c r="I48" s="75"/>
      <x:c r="J48" s="75"/>
      <x:c r="K48" s="75"/>
      <x:c r="L48" s="75"/>
      <x:c r="M48" s="75"/>
      <x:c r="N48" s="75"/>
      <x:c r="O48" s="75"/>
      <x:c r="P48" s="75"/>
      <x:c r="Q48" s="75"/>
      <x:c r="R48" s="75"/>
      <x:c r="S48" s="75"/>
      <x:c r="T48" s="75"/>
      <x:c r="U48" s="75"/>
      <x:c r="V48" s="110"/>
      <x:c r="W48" s="110"/>
      <x:c r="X48" s="75"/>
      <x:c r="Y48" s="75"/>
      <x:c r="Z48" s="75"/>
      <x:c r="AA48" s="75"/>
      <x:c r="AB48" s="75"/>
      <x:c r="AC48" s="75"/>
      <x:c r="AD48" s="75"/>
    </x:row>
    <x:row r="49">
      <x:c r="A49" s="75"/>
      <x:c r="B49" s="75"/>
      <x:c r="C49" s="110"/>
      <x:c r="D49" s="110"/>
      <x:c r="E49" s="75"/>
      <x:c r="F49" s="75"/>
      <x:c r="G49" s="75"/>
      <x:c r="H49" s="75"/>
      <x:c r="I49" s="75"/>
      <x:c r="J49" s="75"/>
      <x:c r="K49" s="75"/>
      <x:c r="L49" s="75"/>
      <x:c r="M49" s="75"/>
      <x:c r="N49" s="75"/>
      <x:c r="O49" s="75"/>
      <x:c r="P49" s="75"/>
      <x:c r="Q49" s="75"/>
      <x:c r="R49" s="75"/>
      <x:c r="S49" s="75"/>
      <x:c r="T49" s="75"/>
      <x:c r="U49" s="75"/>
      <x:c r="V49" s="110"/>
      <x:c r="W49" s="110"/>
      <x:c r="X49" s="75"/>
      <x:c r="Y49" s="75"/>
      <x:c r="Z49" s="75"/>
      <x:c r="AA49" s="75"/>
      <x:c r="AB49" s="75"/>
      <x:c r="AC49" s="75"/>
      <x:c r="AD49" s="75"/>
    </x:row>
    <x:row r="50">
      <x:c r="A50" s="75"/>
      <x:c r="B50" s="75"/>
      <x:c r="C50" s="110"/>
      <x:c r="D50" s="110"/>
      <x:c r="E50" s="75"/>
      <x:c r="F50" s="75"/>
      <x:c r="G50" s="75"/>
      <x:c r="H50" s="75"/>
      <x:c r="I50" s="75"/>
      <x:c r="J50" s="75"/>
      <x:c r="K50" s="75"/>
      <x:c r="L50" s="75"/>
      <x:c r="M50" s="75"/>
      <x:c r="N50" s="75"/>
      <x:c r="O50" s="75"/>
      <x:c r="P50" s="75"/>
      <x:c r="Q50" s="75"/>
      <x:c r="R50" s="75"/>
      <x:c r="S50" s="75"/>
      <x:c r="T50" s="75"/>
      <x:c r="U50" s="75"/>
      <x:c r="V50" s="110"/>
      <x:c r="W50" s="110"/>
      <x:c r="X50" s="75"/>
      <x:c r="Y50" s="75"/>
      <x:c r="Z50" s="75"/>
      <x:c r="AA50" s="75"/>
      <x:c r="AB50" s="75"/>
      <x:c r="AC50" s="75"/>
      <x:c r="AD50" s="75"/>
    </x:row>
    <x:row r="51">
      <x:c r="A51" s="75"/>
      <x:c r="B51" s="75"/>
      <x:c r="C51" s="110"/>
      <x:c r="D51" s="110"/>
      <x:c r="E51" s="75"/>
      <x:c r="F51" s="75"/>
      <x:c r="G51" s="75"/>
      <x:c r="H51" s="75"/>
      <x:c r="I51" s="75"/>
      <x:c r="J51" s="75"/>
      <x:c r="K51" s="75"/>
      <x:c r="L51" s="75"/>
      <x:c r="M51" s="75"/>
      <x:c r="N51" s="75"/>
      <x:c r="O51" s="75"/>
      <x:c r="P51" s="75"/>
      <x:c r="Q51" s="75"/>
      <x:c r="R51" s="75"/>
      <x:c r="S51" s="75"/>
      <x:c r="T51" s="75"/>
      <x:c r="U51" s="75"/>
      <x:c r="V51" s="110"/>
      <x:c r="W51" s="110"/>
      <x:c r="X51" s="75"/>
      <x:c r="Y51" s="75"/>
      <x:c r="Z51" s="75"/>
      <x:c r="AA51" s="75"/>
      <x:c r="AB51" s="75"/>
      <x:c r="AC51" s="75"/>
      <x:c r="AD51" s="75"/>
    </x:row>
    <x:row r="52">
      <x:c r="A52" s="75"/>
      <x:c r="B52" s="75"/>
      <x:c r="C52" s="110"/>
      <x:c r="D52" s="110"/>
      <x:c r="E52" s="75"/>
      <x:c r="F52" s="75"/>
      <x:c r="G52" s="75"/>
      <x:c r="H52" s="75"/>
      <x:c r="I52" s="75"/>
      <x:c r="J52" s="75"/>
      <x:c r="K52" s="75"/>
      <x:c r="L52" s="75"/>
      <x:c r="M52" s="75"/>
      <x:c r="N52" s="75"/>
      <x:c r="O52" s="75"/>
      <x:c r="P52" s="75"/>
      <x:c r="Q52" s="75"/>
      <x:c r="R52" s="75"/>
      <x:c r="S52" s="75"/>
      <x:c r="T52" s="75"/>
      <x:c r="U52" s="75"/>
      <x:c r="V52" s="110"/>
      <x:c r="W52" s="110"/>
      <x:c r="X52" s="75"/>
      <x:c r="Y52" s="75"/>
      <x:c r="Z52" s="75"/>
      <x:c r="AA52" s="75"/>
      <x:c r="AB52" s="75"/>
      <x:c r="AC52" s="75"/>
      <x:c r="AD52" s="75"/>
    </x:row>
    <x:row r="53">
      <x:c r="A53" s="75"/>
      <x:c r="B53" s="75"/>
      <x:c r="C53" s="110"/>
      <x:c r="D53" s="110"/>
      <x:c r="E53" s="75"/>
      <x:c r="F53" s="75"/>
      <x:c r="G53" s="75"/>
      <x:c r="H53" s="75"/>
      <x:c r="I53" s="75"/>
      <x:c r="J53" s="75"/>
      <x:c r="K53" s="75"/>
      <x:c r="L53" s="75"/>
      <x:c r="M53" s="75"/>
      <x:c r="N53" s="75"/>
      <x:c r="O53" s="75"/>
      <x:c r="P53" s="75"/>
      <x:c r="Q53" s="75"/>
      <x:c r="R53" s="75"/>
      <x:c r="S53" s="75"/>
      <x:c r="T53" s="75"/>
      <x:c r="U53" s="75"/>
      <x:c r="V53" s="110"/>
      <x:c r="W53" s="110"/>
      <x:c r="X53" s="75"/>
      <x:c r="Y53" s="75"/>
      <x:c r="Z53" s="75"/>
      <x:c r="AA53" s="75"/>
      <x:c r="AB53" s="75"/>
      <x:c r="AC53" s="75"/>
      <x:c r="AD53" s="75"/>
    </x:row>
    <x:row r="54">
      <x:c r="A54" s="75"/>
      <x:c r="B54" s="75"/>
      <x:c r="C54" s="110"/>
      <x:c r="D54" s="110"/>
      <x:c r="E54" s="75"/>
      <x:c r="F54" s="75"/>
      <x:c r="G54" s="75"/>
      <x:c r="H54" s="75"/>
      <x:c r="I54" s="75"/>
      <x:c r="J54" s="75"/>
      <x:c r="K54" s="75"/>
      <x:c r="L54" s="75"/>
      <x:c r="M54" s="75"/>
      <x:c r="N54" s="75"/>
      <x:c r="O54" s="75"/>
      <x:c r="P54" s="75"/>
      <x:c r="Q54" s="75"/>
      <x:c r="R54" s="75"/>
      <x:c r="S54" s="75"/>
      <x:c r="T54" s="75"/>
      <x:c r="U54" s="75"/>
      <x:c r="V54" s="110"/>
      <x:c r="W54" s="110"/>
      <x:c r="X54" s="75"/>
      <x:c r="Y54" s="75"/>
      <x:c r="Z54" s="75"/>
      <x:c r="AA54" s="75"/>
      <x:c r="AB54" s="75"/>
      <x:c r="AC54" s="75"/>
      <x:c r="AD54" s="75"/>
    </x:row>
    <x:row r="55">
      <x:c r="A55" s="75"/>
      <x:c r="B55" s="75"/>
      <x:c r="C55" s="110"/>
      <x:c r="D55" s="110"/>
      <x:c r="E55" s="75"/>
      <x:c r="F55" s="75"/>
      <x:c r="G55" s="75"/>
      <x:c r="H55" s="75"/>
      <x:c r="I55" s="75"/>
      <x:c r="J55" s="75"/>
      <x:c r="K55" s="75"/>
      <x:c r="L55" s="75"/>
      <x:c r="M55" s="75"/>
      <x:c r="N55" s="75"/>
      <x:c r="O55" s="75"/>
      <x:c r="P55" s="75"/>
      <x:c r="Q55" s="75"/>
      <x:c r="R55" s="75"/>
      <x:c r="S55" s="75"/>
      <x:c r="T55" s="75"/>
      <x:c r="U55" s="75"/>
      <x:c r="V55" s="110"/>
      <x:c r="W55" s="110"/>
      <x:c r="X55" s="75"/>
      <x:c r="Y55" s="75"/>
      <x:c r="Z55" s="75"/>
      <x:c r="AA55" s="75"/>
      <x:c r="AB55" s="75"/>
      <x:c r="AC55" s="75"/>
      <x:c r="AD55" s="75"/>
    </x:row>
    <x:row r="56">
      <x:c r="A56" s="75"/>
      <x:c r="B56" s="75"/>
      <x:c r="C56" s="110"/>
      <x:c r="D56" s="110"/>
      <x:c r="E56" s="75"/>
      <x:c r="F56" s="75"/>
      <x:c r="G56" s="75"/>
      <x:c r="H56" s="75"/>
      <x:c r="I56" s="75"/>
      <x:c r="J56" s="75"/>
      <x:c r="K56" s="75"/>
      <x:c r="L56" s="75"/>
      <x:c r="M56" s="75"/>
      <x:c r="N56" s="75"/>
      <x:c r="O56" s="75"/>
      <x:c r="P56" s="75"/>
      <x:c r="Q56" s="75"/>
      <x:c r="R56" s="75"/>
      <x:c r="S56" s="75"/>
      <x:c r="T56" s="75"/>
      <x:c r="U56" s="75"/>
      <x:c r="V56" s="110"/>
      <x:c r="W56" s="110"/>
      <x:c r="X56" s="75"/>
      <x:c r="Y56" s="75"/>
      <x:c r="Z56" s="75"/>
      <x:c r="AA56" s="75"/>
      <x:c r="AB56" s="75"/>
      <x:c r="AC56" s="75"/>
      <x:c r="AD56" s="75"/>
    </x:row>
    <x:row r="57">
      <x:c r="A57" s="75"/>
      <x:c r="B57" s="75"/>
      <x:c r="C57" s="110"/>
      <x:c r="D57" s="110"/>
      <x:c r="E57" s="75"/>
      <x:c r="F57" s="75"/>
      <x:c r="G57" s="75"/>
      <x:c r="H57" s="75"/>
      <x:c r="I57" s="75"/>
      <x:c r="J57" s="75"/>
      <x:c r="K57" s="75"/>
      <x:c r="L57" s="75"/>
      <x:c r="M57" s="75"/>
      <x:c r="N57" s="75"/>
      <x:c r="O57" s="75"/>
      <x:c r="P57" s="75"/>
      <x:c r="Q57" s="75"/>
      <x:c r="R57" s="75"/>
      <x:c r="S57" s="75"/>
      <x:c r="T57" s="75"/>
      <x:c r="U57" s="75"/>
      <x:c r="V57" s="110"/>
      <x:c r="W57" s="110"/>
      <x:c r="X57" s="75"/>
      <x:c r="Y57" s="75"/>
      <x:c r="Z57" s="75"/>
      <x:c r="AA57" s="75"/>
      <x:c r="AB57" s="75"/>
      <x:c r="AC57" s="75"/>
      <x:c r="AD57" s="75"/>
    </x:row>
    <x:row r="58">
      <x:c r="A58" s="75"/>
      <x:c r="B58" s="75"/>
      <x:c r="C58" s="110"/>
      <x:c r="D58" s="110"/>
      <x:c r="E58" s="75"/>
      <x:c r="F58" s="75"/>
      <x:c r="G58" s="75"/>
      <x:c r="H58" s="75"/>
      <x:c r="I58" s="75"/>
      <x:c r="J58" s="75"/>
      <x:c r="K58" s="75"/>
      <x:c r="L58" s="75"/>
      <x:c r="M58" s="75"/>
      <x:c r="N58" s="75"/>
      <x:c r="O58" s="75"/>
      <x:c r="P58" s="75"/>
      <x:c r="Q58" s="75"/>
      <x:c r="R58" s="75"/>
      <x:c r="S58" s="75"/>
      <x:c r="T58" s="75"/>
      <x:c r="U58" s="75"/>
      <x:c r="V58" s="110"/>
      <x:c r="W58" s="110"/>
      <x:c r="X58" s="75"/>
      <x:c r="Y58" s="75"/>
      <x:c r="Z58" s="75"/>
      <x:c r="AA58" s="75"/>
      <x:c r="AB58" s="75"/>
      <x:c r="AC58" s="75"/>
      <x:c r="AD58" s="75"/>
    </x:row>
    <x:row r="59">
      <x:c r="A59" s="75"/>
      <x:c r="B59" s="75"/>
      <x:c r="C59" s="110"/>
      <x:c r="D59" s="110"/>
      <x:c r="E59" s="75"/>
      <x:c r="F59" s="75"/>
      <x:c r="G59" s="75"/>
      <x:c r="H59" s="75"/>
      <x:c r="I59" s="75"/>
      <x:c r="J59" s="75"/>
      <x:c r="K59" s="75"/>
      <x:c r="L59" s="75"/>
      <x:c r="M59" s="75"/>
      <x:c r="N59" s="75"/>
      <x:c r="O59" s="75"/>
      <x:c r="P59" s="75"/>
      <x:c r="Q59" s="75"/>
      <x:c r="R59" s="75"/>
      <x:c r="S59" s="75"/>
      <x:c r="T59" s="75"/>
      <x:c r="U59" s="75"/>
      <x:c r="V59" s="110"/>
      <x:c r="W59" s="110"/>
      <x:c r="X59" s="75"/>
      <x:c r="Y59" s="75"/>
      <x:c r="Z59" s="75"/>
      <x:c r="AA59" s="75"/>
      <x:c r="AB59" s="75"/>
      <x:c r="AC59" s="75"/>
      <x:c r="AD59" s="75"/>
    </x:row>
    <x:row r="60">
      <x:c r="A60" s="75"/>
      <x:c r="B60" s="75"/>
      <x:c r="C60" s="110"/>
      <x:c r="D60" s="110"/>
      <x:c r="E60" s="75"/>
      <x:c r="F60" s="75"/>
      <x:c r="G60" s="75"/>
      <x:c r="H60" s="75"/>
      <x:c r="I60" s="75"/>
      <x:c r="J60" s="75"/>
      <x:c r="K60" s="75"/>
      <x:c r="L60" s="75"/>
      <x:c r="M60" s="75"/>
      <x:c r="N60" s="75"/>
      <x:c r="O60" s="75"/>
      <x:c r="P60" s="75"/>
      <x:c r="Q60" s="75"/>
      <x:c r="R60" s="75"/>
      <x:c r="S60" s="75"/>
      <x:c r="T60" s="75"/>
      <x:c r="U60" s="75"/>
      <x:c r="V60" s="110"/>
      <x:c r="W60" s="110"/>
      <x:c r="X60" s="75"/>
      <x:c r="Y60" s="75"/>
      <x:c r="Z60" s="75"/>
      <x:c r="AA60" s="75"/>
      <x:c r="AB60" s="75"/>
      <x:c r="AC60" s="75"/>
      <x:c r="AD60" s="75"/>
    </x:row>
    <x:row r="61">
      <x:c r="A61" s="75"/>
      <x:c r="B61" s="75"/>
      <x:c r="C61" s="110"/>
      <x:c r="D61" s="110"/>
      <x:c r="E61" s="75"/>
      <x:c r="F61" s="75"/>
      <x:c r="G61" s="75"/>
      <x:c r="H61" s="75"/>
      <x:c r="I61" s="75"/>
      <x:c r="J61" s="75"/>
      <x:c r="K61" s="75"/>
      <x:c r="L61" s="75"/>
      <x:c r="M61" s="75"/>
      <x:c r="N61" s="75"/>
      <x:c r="O61" s="75"/>
      <x:c r="P61" s="75"/>
      <x:c r="Q61" s="75"/>
      <x:c r="R61" s="75"/>
      <x:c r="S61" s="75"/>
      <x:c r="T61" s="75"/>
      <x:c r="U61" s="75"/>
      <x:c r="V61" s="110"/>
      <x:c r="W61" s="110"/>
      <x:c r="X61" s="75"/>
      <x:c r="Y61" s="75"/>
      <x:c r="Z61" s="75"/>
      <x:c r="AA61" s="75"/>
      <x:c r="AB61" s="75"/>
      <x:c r="AC61" s="75"/>
      <x:c r="AD61" s="75"/>
    </x:row>
    <x:row r="62">
      <x:c r="A62" s="75"/>
      <x:c r="B62" s="75"/>
      <x:c r="C62" s="110"/>
      <x:c r="D62" s="110"/>
      <x:c r="E62" s="75"/>
      <x:c r="F62" s="75"/>
      <x:c r="G62" s="75"/>
      <x:c r="H62" s="75"/>
      <x:c r="I62" s="75"/>
      <x:c r="J62" s="75"/>
      <x:c r="K62" s="75"/>
      <x:c r="L62" s="75"/>
      <x:c r="M62" s="75"/>
      <x:c r="N62" s="75"/>
      <x:c r="O62" s="75"/>
      <x:c r="P62" s="75"/>
      <x:c r="Q62" s="75"/>
      <x:c r="R62" s="75"/>
      <x:c r="S62" s="75"/>
      <x:c r="T62" s="75"/>
      <x:c r="U62" s="75"/>
      <x:c r="V62" s="110"/>
      <x:c r="W62" s="110"/>
      <x:c r="X62" s="75"/>
      <x:c r="Y62" s="75"/>
      <x:c r="Z62" s="75"/>
      <x:c r="AA62" s="75"/>
      <x:c r="AB62" s="75"/>
      <x:c r="AC62" s="75"/>
      <x:c r="AD62" s="75"/>
    </x:row>
    <x:row r="63">
      <x:c r="A63" s="75"/>
      <x:c r="B63" s="75"/>
      <x:c r="C63" s="110"/>
      <x:c r="D63" s="110"/>
      <x:c r="E63" s="75"/>
      <x:c r="F63" s="75"/>
      <x:c r="G63" s="75"/>
      <x:c r="H63" s="75"/>
      <x:c r="I63" s="75"/>
      <x:c r="J63" s="75"/>
      <x:c r="K63" s="75"/>
      <x:c r="L63" s="75"/>
      <x:c r="M63" s="75"/>
      <x:c r="N63" s="75"/>
      <x:c r="O63" s="75"/>
      <x:c r="P63" s="75"/>
      <x:c r="Q63" s="75"/>
      <x:c r="R63" s="75"/>
      <x:c r="S63" s="75"/>
      <x:c r="T63" s="75"/>
      <x:c r="U63" s="75"/>
      <x:c r="V63" s="110"/>
      <x:c r="W63" s="110"/>
      <x:c r="X63" s="75"/>
      <x:c r="Y63" s="75"/>
      <x:c r="Z63" s="75"/>
      <x:c r="AA63" s="75"/>
      <x:c r="AB63" s="75"/>
      <x:c r="AC63" s="75"/>
      <x:c r="AD63" s="75"/>
    </x:row>
    <x:row r="64">
      <x:c r="A64" s="75"/>
      <x:c r="B64" s="75"/>
      <x:c r="C64" s="110"/>
      <x:c r="D64" s="110"/>
      <x:c r="E64" s="75"/>
      <x:c r="F64" s="75"/>
      <x:c r="G64" s="75"/>
      <x:c r="H64" s="75"/>
      <x:c r="I64" s="75"/>
      <x:c r="J64" s="75"/>
      <x:c r="K64" s="75"/>
      <x:c r="L64" s="75"/>
      <x:c r="M64" s="75"/>
      <x:c r="N64" s="75"/>
      <x:c r="O64" s="75"/>
      <x:c r="P64" s="75"/>
      <x:c r="Q64" s="75"/>
      <x:c r="R64" s="75"/>
      <x:c r="S64" s="75"/>
      <x:c r="T64" s="75"/>
      <x:c r="U64" s="75"/>
      <x:c r="V64" s="110"/>
      <x:c r="W64" s="110"/>
      <x:c r="X64" s="75"/>
      <x:c r="Y64" s="75"/>
      <x:c r="Z64" s="75"/>
      <x:c r="AA64" s="75"/>
      <x:c r="AB64" s="75"/>
      <x:c r="AC64" s="75"/>
      <x:c r="AD64" s="75"/>
    </x:row>
    <x:row r="65">
      <x:c r="A65" s="75"/>
      <x:c r="B65" s="75"/>
      <x:c r="C65" s="110"/>
      <x:c r="D65" s="110"/>
      <x:c r="E65" s="75"/>
      <x:c r="F65" s="75"/>
      <x:c r="G65" s="75"/>
      <x:c r="H65" s="75"/>
      <x:c r="I65" s="75"/>
      <x:c r="J65" s="75"/>
      <x:c r="K65" s="75"/>
      <x:c r="L65" s="75"/>
      <x:c r="M65" s="75"/>
      <x:c r="N65" s="75"/>
      <x:c r="O65" s="75"/>
      <x:c r="P65" s="75"/>
      <x:c r="Q65" s="75"/>
      <x:c r="R65" s="75"/>
      <x:c r="S65" s="75"/>
      <x:c r="T65" s="75"/>
      <x:c r="U65" s="75"/>
      <x:c r="V65" s="110"/>
      <x:c r="W65" s="110"/>
      <x:c r="X65" s="75"/>
      <x:c r="Y65" s="75"/>
      <x:c r="Z65" s="75"/>
      <x:c r="AA65" s="75"/>
      <x:c r="AB65" s="75"/>
      <x:c r="AC65" s="75"/>
      <x:c r="AD65" s="75"/>
    </x:row>
    <x:row r="66">
      <x:c r="A66" s="75"/>
      <x:c r="B66" s="75"/>
      <x:c r="C66" s="110"/>
      <x:c r="D66" s="110"/>
      <x:c r="E66" s="75"/>
      <x:c r="F66" s="75"/>
      <x:c r="G66" s="75"/>
      <x:c r="H66" s="75"/>
      <x:c r="I66" s="75"/>
      <x:c r="J66" s="75"/>
      <x:c r="K66" s="75"/>
      <x:c r="L66" s="75"/>
      <x:c r="M66" s="75"/>
      <x:c r="N66" s="75"/>
      <x:c r="O66" s="75"/>
      <x:c r="P66" s="75"/>
      <x:c r="Q66" s="75"/>
      <x:c r="R66" s="75"/>
      <x:c r="S66" s="75"/>
      <x:c r="T66" s="75"/>
      <x:c r="U66" s="75"/>
      <x:c r="V66" s="110"/>
      <x:c r="W66" s="110"/>
      <x:c r="X66" s="75"/>
      <x:c r="Y66" s="75"/>
      <x:c r="Z66" s="75"/>
      <x:c r="AA66" s="75"/>
      <x:c r="AB66" s="75"/>
      <x:c r="AC66" s="75"/>
      <x:c r="AD66" s="75"/>
    </x:row>
    <x:row r="67">
      <x:c r="A67" s="75"/>
      <x:c r="B67" s="75"/>
      <x:c r="C67" s="110"/>
      <x:c r="D67" s="110"/>
      <x:c r="E67" s="75"/>
      <x:c r="F67" s="75"/>
      <x:c r="G67" s="75"/>
      <x:c r="H67" s="75"/>
      <x:c r="I67" s="75"/>
      <x:c r="J67" s="75"/>
      <x:c r="K67" s="75"/>
      <x:c r="L67" s="75"/>
      <x:c r="M67" s="75"/>
      <x:c r="N67" s="75"/>
      <x:c r="O67" s="75"/>
      <x:c r="P67" s="75"/>
      <x:c r="Q67" s="75"/>
      <x:c r="R67" s="75"/>
      <x:c r="S67" s="75"/>
      <x:c r="T67" s="75"/>
      <x:c r="U67" s="75"/>
      <x:c r="V67" s="110"/>
      <x:c r="W67" s="110"/>
      <x:c r="X67" s="75"/>
      <x:c r="Y67" s="75"/>
      <x:c r="Z67" s="75"/>
      <x:c r="AA67" s="75"/>
      <x:c r="AB67" s="75"/>
      <x:c r="AC67" s="75"/>
      <x:c r="AD67" s="75"/>
    </x:row>
    <x:row r="68">
      <x:c r="A68" s="75"/>
      <x:c r="B68" s="75"/>
      <x:c r="C68" s="110"/>
      <x:c r="D68" s="110"/>
      <x:c r="E68" s="75"/>
      <x:c r="F68" s="75"/>
      <x:c r="G68" s="75"/>
      <x:c r="H68" s="75"/>
      <x:c r="I68" s="75"/>
      <x:c r="J68" s="75"/>
      <x:c r="K68" s="75"/>
      <x:c r="L68" s="75"/>
      <x:c r="M68" s="75"/>
      <x:c r="N68" s="75"/>
      <x:c r="O68" s="75"/>
      <x:c r="P68" s="75"/>
      <x:c r="Q68" s="75"/>
      <x:c r="R68" s="75"/>
      <x:c r="S68" s="75"/>
      <x:c r="T68" s="75"/>
      <x:c r="U68" s="75"/>
      <x:c r="V68" s="110"/>
      <x:c r="W68" s="110"/>
      <x:c r="X68" s="75"/>
      <x:c r="Y68" s="75"/>
      <x:c r="Z68" s="75"/>
      <x:c r="AA68" s="75"/>
      <x:c r="AB68" s="75"/>
      <x:c r="AC68" s="75"/>
      <x:c r="AD68" s="75"/>
    </x:row>
    <x:row r="69">
      <x:c r="A69" s="75"/>
      <x:c r="B69" s="75"/>
      <x:c r="C69" s="110"/>
      <x:c r="D69" s="110"/>
      <x:c r="E69" s="75"/>
      <x:c r="F69" s="75"/>
      <x:c r="G69" s="75"/>
      <x:c r="H69" s="75"/>
      <x:c r="I69" s="75"/>
      <x:c r="J69" s="75"/>
      <x:c r="K69" s="75"/>
      <x:c r="L69" s="75"/>
      <x:c r="M69" s="75"/>
      <x:c r="N69" s="75"/>
      <x:c r="O69" s="75"/>
      <x:c r="P69" s="75"/>
      <x:c r="Q69" s="75"/>
      <x:c r="R69" s="75"/>
      <x:c r="S69" s="75"/>
      <x:c r="T69" s="75"/>
      <x:c r="U69" s="75"/>
      <x:c r="V69" s="110"/>
      <x:c r="W69" s="110"/>
      <x:c r="X69" s="75"/>
      <x:c r="Y69" s="75"/>
      <x:c r="Z69" s="75"/>
      <x:c r="AA69" s="75"/>
      <x:c r="AB69" s="75"/>
      <x:c r="AC69" s="75"/>
      <x:c r="AD69" s="75"/>
    </x:row>
    <x:row r="70">
      <x:c r="A70" s="75"/>
      <x:c r="B70" s="75"/>
      <x:c r="C70" s="110"/>
      <x:c r="D70" s="110"/>
      <x:c r="E70" s="75"/>
      <x:c r="F70" s="75"/>
      <x:c r="G70" s="75"/>
      <x:c r="H70" s="75"/>
      <x:c r="I70" s="75"/>
      <x:c r="J70" s="75"/>
      <x:c r="K70" s="75"/>
      <x:c r="L70" s="75"/>
      <x:c r="M70" s="75"/>
      <x:c r="N70" s="75"/>
      <x:c r="O70" s="75"/>
      <x:c r="P70" s="75"/>
      <x:c r="Q70" s="75"/>
      <x:c r="R70" s="75"/>
      <x:c r="S70" s="75"/>
      <x:c r="T70" s="75"/>
      <x:c r="U70" s="75"/>
      <x:c r="V70" s="110"/>
      <x:c r="W70" s="110"/>
      <x:c r="X70" s="75"/>
      <x:c r="Y70" s="75"/>
      <x:c r="Z70" s="75"/>
      <x:c r="AA70" s="75"/>
      <x:c r="AB70" s="75"/>
      <x:c r="AC70" s="75"/>
      <x:c r="AD70" s="75"/>
    </x:row>
    <x:row r="71">
      <x:c r="A71" s="75"/>
      <x:c r="B71" s="75"/>
      <x:c r="C71" s="110"/>
      <x:c r="D71" s="110"/>
      <x:c r="E71" s="75"/>
      <x:c r="F71" s="75"/>
      <x:c r="G71" s="75"/>
      <x:c r="H71" s="75"/>
      <x:c r="I71" s="75"/>
      <x:c r="J71" s="75"/>
      <x:c r="K71" s="75"/>
      <x:c r="L71" s="75"/>
      <x:c r="M71" s="75"/>
      <x:c r="N71" s="75"/>
      <x:c r="O71" s="75"/>
      <x:c r="P71" s="75"/>
      <x:c r="Q71" s="75"/>
      <x:c r="R71" s="75"/>
      <x:c r="S71" s="75"/>
      <x:c r="T71" s="75"/>
      <x:c r="U71" s="75"/>
      <x:c r="V71" s="110"/>
      <x:c r="W71" s="110"/>
      <x:c r="X71" s="75"/>
      <x:c r="Y71" s="75"/>
      <x:c r="Z71" s="75"/>
      <x:c r="AA71" s="75"/>
      <x:c r="AB71" s="75"/>
      <x:c r="AC71" s="75"/>
      <x:c r="AD71" s="75"/>
    </x:row>
    <x:row r="72">
      <x:c r="A72" s="75"/>
      <x:c r="B72" s="75"/>
      <x:c r="C72" s="110"/>
      <x:c r="D72" s="110"/>
      <x:c r="E72" s="75"/>
      <x:c r="F72" s="75"/>
      <x:c r="G72" s="75"/>
      <x:c r="H72" s="75"/>
      <x:c r="I72" s="75"/>
      <x:c r="J72" s="75"/>
      <x:c r="K72" s="75"/>
      <x:c r="L72" s="75"/>
      <x:c r="M72" s="75"/>
      <x:c r="N72" s="75"/>
      <x:c r="O72" s="75"/>
      <x:c r="P72" s="75"/>
      <x:c r="Q72" s="75"/>
      <x:c r="R72" s="75"/>
      <x:c r="S72" s="75"/>
      <x:c r="T72" s="75"/>
      <x:c r="U72" s="75"/>
      <x:c r="V72" s="110"/>
      <x:c r="W72" s="110"/>
      <x:c r="X72" s="75"/>
      <x:c r="Y72" s="75"/>
      <x:c r="Z72" s="75"/>
      <x:c r="AA72" s="75"/>
      <x:c r="AB72" s="75"/>
      <x:c r="AC72" s="75"/>
      <x:c r="AD72" s="75"/>
    </x:row>
    <x:row r="73">
      <x:c r="A73" s="75"/>
      <x:c r="B73" s="75"/>
      <x:c r="C73" s="110"/>
      <x:c r="D73" s="110"/>
      <x:c r="E73" s="75"/>
      <x:c r="F73" s="75"/>
      <x:c r="G73" s="75"/>
      <x:c r="H73" s="75"/>
      <x:c r="I73" s="75"/>
      <x:c r="J73" s="75"/>
      <x:c r="K73" s="75"/>
      <x:c r="L73" s="75"/>
      <x:c r="M73" s="75"/>
      <x:c r="N73" s="75"/>
      <x:c r="O73" s="75"/>
      <x:c r="P73" s="75"/>
      <x:c r="Q73" s="75"/>
      <x:c r="R73" s="75"/>
      <x:c r="S73" s="75"/>
      <x:c r="T73" s="75"/>
      <x:c r="U73" s="75"/>
      <x:c r="V73" s="110"/>
      <x:c r="W73" s="110"/>
      <x:c r="X73" s="75"/>
      <x:c r="Y73" s="75"/>
      <x:c r="Z73" s="75"/>
      <x:c r="AA73" s="75"/>
      <x:c r="AB73" s="75"/>
      <x:c r="AC73" s="75"/>
      <x:c r="AD73" s="75"/>
    </x:row>
    <x:row r="74">
      <x:c r="A74" s="75"/>
      <x:c r="B74" s="75"/>
      <x:c r="C74" s="110"/>
      <x:c r="D74" s="110"/>
      <x:c r="E74" s="75"/>
      <x:c r="F74" s="75"/>
      <x:c r="G74" s="75"/>
      <x:c r="H74" s="75"/>
      <x:c r="I74" s="75"/>
      <x:c r="J74" s="75"/>
      <x:c r="K74" s="75"/>
      <x:c r="L74" s="75"/>
      <x:c r="M74" s="75"/>
      <x:c r="N74" s="75"/>
      <x:c r="O74" s="75"/>
      <x:c r="P74" s="75"/>
      <x:c r="Q74" s="75"/>
      <x:c r="R74" s="75"/>
      <x:c r="S74" s="75"/>
      <x:c r="T74" s="75"/>
      <x:c r="U74" s="75"/>
      <x:c r="V74" s="110"/>
      <x:c r="W74" s="110"/>
      <x:c r="X74" s="75"/>
      <x:c r="Y74" s="75"/>
      <x:c r="Z74" s="75"/>
      <x:c r="AA74" s="75"/>
      <x:c r="AB74" s="75"/>
      <x:c r="AC74" s="75"/>
      <x:c r="AD74" s="75"/>
    </x:row>
    <x:row r="75">
      <x:c r="A75" s="75"/>
      <x:c r="B75" s="75"/>
      <x:c r="C75" s="110"/>
      <x:c r="D75" s="110"/>
      <x:c r="E75" s="75"/>
      <x:c r="F75" s="75"/>
      <x:c r="G75" s="75"/>
      <x:c r="H75" s="75"/>
      <x:c r="I75" s="75"/>
      <x:c r="J75" s="75"/>
      <x:c r="K75" s="75"/>
      <x:c r="L75" s="75"/>
      <x:c r="M75" s="75"/>
      <x:c r="N75" s="75"/>
      <x:c r="O75" s="75"/>
      <x:c r="P75" s="75"/>
      <x:c r="Q75" s="75"/>
      <x:c r="R75" s="75"/>
      <x:c r="S75" s="75"/>
      <x:c r="T75" s="75"/>
      <x:c r="U75" s="75"/>
      <x:c r="V75" s="110"/>
      <x:c r="W75" s="110"/>
      <x:c r="X75" s="75"/>
      <x:c r="Y75" s="75"/>
      <x:c r="Z75" s="75"/>
      <x:c r="AA75" s="75"/>
      <x:c r="AB75" s="75"/>
      <x:c r="AC75" s="75"/>
      <x:c r="AD75" s="75"/>
    </x:row>
    <x:row r="76">
      <x:c r="A76" s="75"/>
      <x:c r="B76" s="75"/>
      <x:c r="C76" s="110"/>
      <x:c r="D76" s="110"/>
      <x:c r="E76" s="75"/>
      <x:c r="F76" s="75"/>
      <x:c r="G76" s="75"/>
      <x:c r="H76" s="75"/>
      <x:c r="I76" s="75"/>
      <x:c r="J76" s="75"/>
      <x:c r="K76" s="75"/>
      <x:c r="L76" s="75"/>
      <x:c r="M76" s="75"/>
      <x:c r="N76" s="75"/>
      <x:c r="O76" s="75"/>
      <x:c r="P76" s="75"/>
      <x:c r="Q76" s="75"/>
      <x:c r="R76" s="75"/>
      <x:c r="S76" s="75"/>
      <x:c r="T76" s="75"/>
      <x:c r="U76" s="75"/>
      <x:c r="V76" s="110"/>
      <x:c r="W76" s="110"/>
      <x:c r="X76" s="75"/>
      <x:c r="Y76" s="75"/>
      <x:c r="Z76" s="75"/>
      <x:c r="AA76" s="75"/>
      <x:c r="AB76" s="75"/>
      <x:c r="AC76" s="75"/>
      <x:c r="AD76" s="75"/>
    </x:row>
    <x:row r="77">
      <x:c r="A77" s="75"/>
      <x:c r="B77" s="75"/>
      <x:c r="C77" s="110"/>
      <x:c r="D77" s="110"/>
      <x:c r="E77" s="75"/>
      <x:c r="F77" s="75"/>
      <x:c r="G77" s="75"/>
      <x:c r="H77" s="75"/>
      <x:c r="I77" s="75"/>
      <x:c r="J77" s="75"/>
      <x:c r="K77" s="75"/>
      <x:c r="L77" s="75"/>
      <x:c r="M77" s="75"/>
      <x:c r="N77" s="75"/>
      <x:c r="O77" s="75"/>
      <x:c r="P77" s="75"/>
      <x:c r="Q77" s="75"/>
      <x:c r="R77" s="75"/>
      <x:c r="S77" s="75"/>
      <x:c r="T77" s="75"/>
      <x:c r="U77" s="75"/>
      <x:c r="V77" s="110"/>
      <x:c r="W77" s="110"/>
      <x:c r="X77" s="75"/>
      <x:c r="Y77" s="75"/>
      <x:c r="Z77" s="75"/>
      <x:c r="AA77" s="75"/>
      <x:c r="AB77" s="75"/>
      <x:c r="AC77" s="75"/>
      <x:c r="AD77" s="75"/>
    </x:row>
    <x:row r="78">
      <x:c r="A78" s="75"/>
      <x:c r="B78" s="75"/>
      <x:c r="C78" s="110"/>
      <x:c r="D78" s="110"/>
      <x:c r="E78" s="75"/>
      <x:c r="F78" s="75"/>
      <x:c r="G78" s="75"/>
      <x:c r="H78" s="75"/>
      <x:c r="I78" s="75"/>
      <x:c r="J78" s="75"/>
      <x:c r="K78" s="75"/>
      <x:c r="L78" s="75"/>
      <x:c r="M78" s="75"/>
      <x:c r="N78" s="75"/>
      <x:c r="O78" s="75"/>
      <x:c r="P78" s="75"/>
      <x:c r="Q78" s="75"/>
      <x:c r="R78" s="75"/>
      <x:c r="S78" s="75"/>
      <x:c r="T78" s="75"/>
      <x:c r="U78" s="75"/>
      <x:c r="V78" s="110"/>
      <x:c r="W78" s="110"/>
      <x:c r="X78" s="75"/>
      <x:c r="Y78" s="75"/>
      <x:c r="Z78" s="75"/>
      <x:c r="AA78" s="75"/>
      <x:c r="AB78" s="75"/>
      <x:c r="AC78" s="75"/>
      <x:c r="AD78" s="75"/>
    </x:row>
    <x:row r="79">
      <x:c r="A79" s="75"/>
      <x:c r="B79" s="75"/>
      <x:c r="C79" s="110"/>
      <x:c r="D79" s="110"/>
      <x:c r="E79" s="75"/>
      <x:c r="F79" s="75"/>
      <x:c r="G79" s="75"/>
      <x:c r="H79" s="75"/>
      <x:c r="I79" s="75"/>
      <x:c r="J79" s="75"/>
      <x:c r="K79" s="75"/>
      <x:c r="L79" s="75"/>
      <x:c r="M79" s="75"/>
      <x:c r="N79" s="75"/>
      <x:c r="O79" s="75"/>
      <x:c r="P79" s="75"/>
      <x:c r="Q79" s="75"/>
      <x:c r="R79" s="75"/>
      <x:c r="S79" s="75"/>
      <x:c r="T79" s="75"/>
      <x:c r="U79" s="75"/>
      <x:c r="V79" s="110"/>
      <x:c r="W79" s="110"/>
      <x:c r="X79" s="75"/>
      <x:c r="Y79" s="75"/>
      <x:c r="Z79" s="75"/>
      <x:c r="AA79" s="75"/>
      <x:c r="AB79" s="75"/>
      <x:c r="AC79" s="75"/>
      <x:c r="AD79" s="75"/>
    </x:row>
    <x:row r="80">
      <x:c r="A80" s="75"/>
      <x:c r="B80" s="75"/>
      <x:c r="C80" s="110"/>
      <x:c r="D80" s="110"/>
      <x:c r="E80" s="75"/>
      <x:c r="F80" s="75"/>
      <x:c r="G80" s="75"/>
      <x:c r="H80" s="75"/>
      <x:c r="I80" s="75"/>
      <x:c r="J80" s="75"/>
      <x:c r="K80" s="75"/>
      <x:c r="L80" s="75"/>
      <x:c r="M80" s="75"/>
      <x:c r="N80" s="75"/>
      <x:c r="O80" s="75"/>
      <x:c r="P80" s="75"/>
      <x:c r="Q80" s="75"/>
      <x:c r="R80" s="75"/>
      <x:c r="S80" s="75"/>
      <x:c r="T80" s="75"/>
      <x:c r="U80" s="75"/>
      <x:c r="V80" s="110"/>
      <x:c r="W80" s="110"/>
      <x:c r="X80" s="75"/>
      <x:c r="Y80" s="75"/>
      <x:c r="Z80" s="75"/>
      <x:c r="AA80" s="75"/>
      <x:c r="AB80" s="75"/>
      <x:c r="AC80" s="75"/>
      <x:c r="AD80" s="75"/>
    </x:row>
    <x:row r="81">
      <x:c r="A81" s="75"/>
      <x:c r="B81" s="75"/>
      <x:c r="C81" s="110"/>
      <x:c r="D81" s="110"/>
      <x:c r="E81" s="75"/>
      <x:c r="F81" s="75"/>
      <x:c r="G81" s="75"/>
      <x:c r="H81" s="75"/>
      <x:c r="I81" s="75"/>
      <x:c r="J81" s="75"/>
      <x:c r="K81" s="75"/>
      <x:c r="L81" s="75"/>
      <x:c r="M81" s="75"/>
      <x:c r="N81" s="75"/>
      <x:c r="O81" s="75"/>
      <x:c r="P81" s="75"/>
      <x:c r="Q81" s="75"/>
      <x:c r="R81" s="75"/>
      <x:c r="S81" s="75"/>
      <x:c r="T81" s="75"/>
      <x:c r="U81" s="75"/>
      <x:c r="V81" s="110"/>
      <x:c r="W81" s="110"/>
      <x:c r="X81" s="75"/>
      <x:c r="Y81" s="75"/>
      <x:c r="Z81" s="75"/>
      <x:c r="AA81" s="75"/>
      <x:c r="AB81" s="75"/>
      <x:c r="AC81" s="75"/>
      <x:c r="AD81" s="75"/>
    </x:row>
    <x:row r="82">
      <x:c r="A82" s="75"/>
      <x:c r="B82" s="75"/>
      <x:c r="C82" s="110"/>
      <x:c r="D82" s="110"/>
      <x:c r="E82" s="75"/>
      <x:c r="F82" s="75"/>
      <x:c r="G82" s="75"/>
      <x:c r="H82" s="75"/>
      <x:c r="I82" s="75"/>
      <x:c r="J82" s="75"/>
      <x:c r="K82" s="75"/>
      <x:c r="L82" s="75"/>
      <x:c r="M82" s="75"/>
      <x:c r="N82" s="75"/>
      <x:c r="O82" s="75"/>
      <x:c r="P82" s="75"/>
      <x:c r="Q82" s="75"/>
      <x:c r="R82" s="75"/>
      <x:c r="S82" s="75"/>
      <x:c r="T82" s="75"/>
      <x:c r="U82" s="75"/>
      <x:c r="V82" s="110"/>
      <x:c r="W82" s="110"/>
      <x:c r="X82" s="75"/>
      <x:c r="Y82" s="75"/>
      <x:c r="Z82" s="75"/>
      <x:c r="AA82" s="75"/>
      <x:c r="AB82" s="75"/>
      <x:c r="AC82" s="75"/>
      <x:c r="AD82" s="75"/>
    </x:row>
    <x:row r="83">
      <x:c r="A83" s="75"/>
      <x:c r="B83" s="75"/>
      <x:c r="C83" s="110"/>
      <x:c r="D83" s="110"/>
      <x:c r="E83" s="75"/>
      <x:c r="F83" s="75"/>
      <x:c r="G83" s="75"/>
      <x:c r="H83" s="75"/>
      <x:c r="I83" s="75"/>
      <x:c r="J83" s="75"/>
      <x:c r="K83" s="75"/>
      <x:c r="L83" s="75"/>
      <x:c r="M83" s="75"/>
      <x:c r="N83" s="75"/>
      <x:c r="O83" s="75"/>
      <x:c r="P83" s="75"/>
      <x:c r="Q83" s="75"/>
      <x:c r="R83" s="75"/>
      <x:c r="S83" s="75"/>
      <x:c r="T83" s="75"/>
      <x:c r="U83" s="75"/>
      <x:c r="V83" s="110"/>
      <x:c r="W83" s="110"/>
      <x:c r="X83" s="75"/>
      <x:c r="Y83" s="75"/>
      <x:c r="Z83" s="75"/>
      <x:c r="AA83" s="75"/>
      <x:c r="AB83" s="75"/>
      <x:c r="AC83" s="75"/>
      <x:c r="AD83" s="75"/>
    </x:row>
    <x:row r="84">
      <x:c r="A84" s="75"/>
      <x:c r="B84" s="75"/>
      <x:c r="C84" s="110"/>
      <x:c r="D84" s="110"/>
      <x:c r="E84" s="75"/>
      <x:c r="F84" s="75"/>
      <x:c r="G84" s="75"/>
      <x:c r="H84" s="75"/>
      <x:c r="I84" s="75"/>
      <x:c r="J84" s="75"/>
      <x:c r="K84" s="75"/>
      <x:c r="L84" s="75"/>
      <x:c r="M84" s="75"/>
      <x:c r="N84" s="75"/>
      <x:c r="O84" s="75"/>
      <x:c r="P84" s="75"/>
      <x:c r="Q84" s="75"/>
      <x:c r="R84" s="75"/>
      <x:c r="S84" s="75"/>
      <x:c r="T84" s="75"/>
      <x:c r="U84" s="75"/>
      <x:c r="V84" s="110"/>
      <x:c r="W84" s="110"/>
      <x:c r="X84" s="75"/>
      <x:c r="Y84" s="75"/>
      <x:c r="Z84" s="75"/>
      <x:c r="AA84" s="75"/>
      <x:c r="AB84" s="75"/>
      <x:c r="AC84" s="75"/>
      <x:c r="AD84" s="75"/>
    </x:row>
    <x:row r="85">
      <x:c r="A85" s="75"/>
      <x:c r="B85" s="75"/>
      <x:c r="C85" s="110"/>
      <x:c r="D85" s="110"/>
      <x:c r="E85" s="75"/>
      <x:c r="F85" s="75"/>
      <x:c r="G85" s="75"/>
      <x:c r="H85" s="75"/>
      <x:c r="I85" s="75"/>
      <x:c r="J85" s="75"/>
      <x:c r="K85" s="75"/>
      <x:c r="L85" s="75"/>
      <x:c r="M85" s="75"/>
      <x:c r="N85" s="75"/>
      <x:c r="O85" s="75"/>
      <x:c r="P85" s="75"/>
      <x:c r="Q85" s="75"/>
      <x:c r="R85" s="75"/>
      <x:c r="S85" s="75"/>
      <x:c r="T85" s="75"/>
      <x:c r="U85" s="75"/>
      <x:c r="V85" s="110"/>
      <x:c r="W85" s="110"/>
      <x:c r="X85" s="75"/>
      <x:c r="Y85" s="75"/>
      <x:c r="Z85" s="75"/>
      <x:c r="AA85" s="75"/>
      <x:c r="AB85" s="75"/>
      <x:c r="AC85" s="75"/>
      <x:c r="AD85" s="75"/>
    </x:row>
    <x:row r="86">
      <x:c r="A86" s="75"/>
      <x:c r="B86" s="75"/>
      <x:c r="C86" s="110"/>
      <x:c r="D86" s="110"/>
      <x:c r="E86" s="75"/>
      <x:c r="F86" s="75"/>
      <x:c r="G86" s="75"/>
      <x:c r="H86" s="75"/>
      <x:c r="I86" s="75"/>
      <x:c r="J86" s="75"/>
      <x:c r="K86" s="75"/>
      <x:c r="L86" s="75"/>
      <x:c r="M86" s="75"/>
      <x:c r="N86" s="75"/>
      <x:c r="O86" s="75"/>
      <x:c r="P86" s="75"/>
      <x:c r="Q86" s="75"/>
      <x:c r="R86" s="75"/>
      <x:c r="S86" s="75"/>
      <x:c r="T86" s="75"/>
      <x:c r="U86" s="75"/>
      <x:c r="V86" s="110"/>
      <x:c r="W86" s="110"/>
      <x:c r="X86" s="75"/>
      <x:c r="Y86" s="75"/>
      <x:c r="Z86" s="75"/>
      <x:c r="AA86" s="75"/>
      <x:c r="AB86" s="75"/>
      <x:c r="AC86" s="75"/>
      <x:c r="AD86" s="75"/>
    </x:row>
    <x:row r="87">
      <x:c r="A87" s="75"/>
      <x:c r="B87" s="75"/>
      <x:c r="C87" s="110"/>
      <x:c r="D87" s="110"/>
      <x:c r="E87" s="75"/>
      <x:c r="F87" s="75"/>
      <x:c r="G87" s="75"/>
      <x:c r="H87" s="75"/>
      <x:c r="I87" s="75"/>
      <x:c r="J87" s="75"/>
      <x:c r="K87" s="75"/>
      <x:c r="L87" s="75"/>
      <x:c r="M87" s="75"/>
      <x:c r="N87" s="75"/>
      <x:c r="O87" s="75"/>
      <x:c r="P87" s="75"/>
      <x:c r="Q87" s="75"/>
      <x:c r="R87" s="75"/>
      <x:c r="S87" s="75"/>
      <x:c r="T87" s="75"/>
      <x:c r="U87" s="75"/>
      <x:c r="V87" s="110"/>
      <x:c r="W87" s="110"/>
      <x:c r="X87" s="75"/>
      <x:c r="Y87" s="75"/>
      <x:c r="Z87" s="75"/>
      <x:c r="AA87" s="75"/>
      <x:c r="AB87" s="75"/>
      <x:c r="AC87" s="75"/>
      <x:c r="AD87" s="75"/>
    </x:row>
    <x:row r="88">
      <x:c r="A88" s="75"/>
      <x:c r="B88" s="75"/>
      <x:c r="C88" s="110"/>
      <x:c r="D88" s="110"/>
      <x:c r="E88" s="75"/>
      <x:c r="F88" s="75"/>
      <x:c r="G88" s="75"/>
      <x:c r="H88" s="75"/>
      <x:c r="I88" s="75"/>
      <x:c r="J88" s="75"/>
      <x:c r="K88" s="75"/>
      <x:c r="L88" s="75"/>
      <x:c r="M88" s="75"/>
      <x:c r="N88" s="75"/>
      <x:c r="O88" s="75"/>
      <x:c r="P88" s="75"/>
      <x:c r="Q88" s="75"/>
      <x:c r="R88" s="75"/>
      <x:c r="S88" s="75"/>
      <x:c r="T88" s="75"/>
      <x:c r="U88" s="75"/>
      <x:c r="V88" s="110"/>
      <x:c r="W88" s="110"/>
      <x:c r="X88" s="75"/>
      <x:c r="Y88" s="75"/>
      <x:c r="Z88" s="75"/>
      <x:c r="AA88" s="75"/>
      <x:c r="AB88" s="75"/>
      <x:c r="AC88" s="75"/>
      <x:c r="AD88" s="75"/>
    </x:row>
    <x:row r="89">
      <x:c r="A89" s="75"/>
      <x:c r="B89" s="75"/>
      <x:c r="C89" s="110"/>
      <x:c r="D89" s="110"/>
      <x:c r="E89" s="75"/>
      <x:c r="F89" s="75"/>
      <x:c r="G89" s="75"/>
      <x:c r="H89" s="75"/>
      <x:c r="I89" s="75"/>
      <x:c r="J89" s="75"/>
      <x:c r="K89" s="75"/>
      <x:c r="L89" s="75"/>
      <x:c r="M89" s="75"/>
      <x:c r="N89" s="75"/>
      <x:c r="O89" s="75"/>
      <x:c r="P89" s="75"/>
      <x:c r="Q89" s="75"/>
      <x:c r="R89" s="75"/>
      <x:c r="S89" s="75"/>
      <x:c r="T89" s="75"/>
      <x:c r="U89" s="75"/>
      <x:c r="V89" s="110"/>
      <x:c r="W89" s="110"/>
      <x:c r="X89" s="75"/>
      <x:c r="Y89" s="75"/>
      <x:c r="Z89" s="75"/>
      <x:c r="AA89" s="75"/>
      <x:c r="AB89" s="75"/>
      <x:c r="AC89" s="75"/>
      <x:c r="AD89" s="75"/>
    </x:row>
    <x:row r="90">
      <x:c r="A90" s="75"/>
      <x:c r="B90" s="75"/>
      <x:c r="C90" s="110"/>
      <x:c r="D90" s="110"/>
      <x:c r="E90" s="75"/>
      <x:c r="F90" s="75"/>
      <x:c r="G90" s="75"/>
      <x:c r="H90" s="75"/>
      <x:c r="I90" s="75"/>
      <x:c r="J90" s="75"/>
      <x:c r="K90" s="75"/>
      <x:c r="L90" s="75"/>
      <x:c r="M90" s="75"/>
      <x:c r="N90" s="75"/>
      <x:c r="O90" s="75"/>
      <x:c r="P90" s="75"/>
      <x:c r="Q90" s="75"/>
      <x:c r="R90" s="75"/>
      <x:c r="S90" s="75"/>
      <x:c r="T90" s="75"/>
      <x:c r="U90" s="75"/>
      <x:c r="V90" s="110"/>
      <x:c r="W90" s="110"/>
      <x:c r="X90" s="75"/>
      <x:c r="Y90" s="75"/>
      <x:c r="Z90" s="75"/>
      <x:c r="AA90" s="75"/>
      <x:c r="AB90" s="75"/>
      <x:c r="AC90" s="75"/>
      <x:c r="AD90" s="75"/>
    </x:row>
    <x:row r="91">
      <x:c r="A91" s="75"/>
      <x:c r="B91" s="75"/>
      <x:c r="C91" s="110"/>
      <x:c r="D91" s="110"/>
      <x:c r="E91" s="75"/>
      <x:c r="F91" s="75"/>
      <x:c r="G91" s="75"/>
      <x:c r="H91" s="75"/>
      <x:c r="I91" s="75"/>
      <x:c r="J91" s="75"/>
      <x:c r="K91" s="75"/>
      <x:c r="L91" s="75"/>
      <x:c r="M91" s="75"/>
      <x:c r="N91" s="75"/>
      <x:c r="O91" s="75"/>
      <x:c r="P91" s="75"/>
      <x:c r="Q91" s="75"/>
      <x:c r="R91" s="75"/>
      <x:c r="S91" s="75"/>
      <x:c r="T91" s="75"/>
      <x:c r="U91" s="75"/>
      <x:c r="V91" s="110"/>
      <x:c r="W91" s="110"/>
      <x:c r="X91" s="75"/>
      <x:c r="Y91" s="75"/>
      <x:c r="Z91" s="75"/>
      <x:c r="AA91" s="75"/>
      <x:c r="AB91" s="75"/>
      <x:c r="AC91" s="75"/>
      <x:c r="AD91" s="75"/>
    </x:row>
    <x:row r="92">
      <x:c r="A92" s="75"/>
      <x:c r="B92" s="75"/>
      <x:c r="C92" s="110"/>
      <x:c r="D92" s="110"/>
      <x:c r="E92" s="75"/>
      <x:c r="F92" s="75"/>
      <x:c r="G92" s="75"/>
      <x:c r="H92" s="75"/>
      <x:c r="I92" s="75"/>
      <x:c r="J92" s="75"/>
      <x:c r="K92" s="75"/>
      <x:c r="L92" s="75"/>
      <x:c r="M92" s="75"/>
      <x:c r="N92" s="75"/>
      <x:c r="O92" s="75"/>
      <x:c r="P92" s="75"/>
      <x:c r="Q92" s="75"/>
      <x:c r="R92" s="75"/>
      <x:c r="S92" s="75"/>
      <x:c r="T92" s="75"/>
      <x:c r="U92" s="75"/>
      <x:c r="V92" s="110"/>
      <x:c r="W92" s="110"/>
      <x:c r="X92" s="75"/>
      <x:c r="Y92" s="75"/>
      <x:c r="Z92" s="75"/>
      <x:c r="AA92" s="75"/>
      <x:c r="AB92" s="75"/>
      <x:c r="AC92" s="75"/>
      <x:c r="AD92" s="75"/>
    </x:row>
    <x:row r="93">
      <x:c r="A93" s="75"/>
      <x:c r="B93" s="75"/>
      <x:c r="C93" s="110"/>
      <x:c r="D93" s="110"/>
      <x:c r="E93" s="75"/>
      <x:c r="F93" s="75"/>
      <x:c r="G93" s="75"/>
      <x:c r="H93" s="75"/>
      <x:c r="I93" s="75"/>
      <x:c r="J93" s="75"/>
      <x:c r="K93" s="75"/>
      <x:c r="L93" s="75"/>
      <x:c r="M93" s="75"/>
      <x:c r="N93" s="75"/>
      <x:c r="O93" s="75"/>
      <x:c r="P93" s="75"/>
      <x:c r="Q93" s="75"/>
      <x:c r="R93" s="75"/>
      <x:c r="S93" s="75"/>
      <x:c r="T93" s="75"/>
      <x:c r="U93" s="75"/>
      <x:c r="V93" s="110"/>
      <x:c r="W93" s="110"/>
      <x:c r="X93" s="75"/>
      <x:c r="Y93" s="75"/>
      <x:c r="Z93" s="75"/>
      <x:c r="AA93" s="75"/>
      <x:c r="AB93" s="75"/>
      <x:c r="AC93" s="75"/>
      <x:c r="AD93" s="75"/>
    </x:row>
    <x:row r="94">
      <x:c r="A94" s="75"/>
      <x:c r="B94" s="75"/>
      <x:c r="C94" s="110"/>
      <x:c r="D94" s="110"/>
      <x:c r="E94" s="75"/>
      <x:c r="F94" s="75"/>
      <x:c r="G94" s="75"/>
      <x:c r="H94" s="75"/>
      <x:c r="I94" s="75"/>
      <x:c r="J94" s="75"/>
      <x:c r="K94" s="75"/>
      <x:c r="L94" s="75"/>
      <x:c r="M94" s="75"/>
      <x:c r="N94" s="75"/>
      <x:c r="O94" s="75"/>
      <x:c r="P94" s="75"/>
      <x:c r="Q94" s="75"/>
      <x:c r="R94" s="75"/>
      <x:c r="S94" s="75"/>
      <x:c r="T94" s="75"/>
      <x:c r="U94" s="75"/>
      <x:c r="V94" s="110"/>
      <x:c r="W94" s="110"/>
      <x:c r="X94" s="75"/>
      <x:c r="Y94" s="75"/>
      <x:c r="Z94" s="75"/>
      <x:c r="AA94" s="75"/>
      <x:c r="AB94" s="75"/>
      <x:c r="AC94" s="75"/>
      <x:c r="AD94" s="75"/>
    </x:row>
    <x:row r="95">
      <x:c r="A95" s="75"/>
      <x:c r="B95" s="75"/>
      <x:c r="C95" s="110"/>
      <x:c r="D95" s="110"/>
      <x:c r="E95" s="75"/>
      <x:c r="F95" s="75"/>
      <x:c r="G95" s="75"/>
      <x:c r="H95" s="75"/>
      <x:c r="I95" s="75"/>
      <x:c r="J95" s="75"/>
      <x:c r="K95" s="75"/>
      <x:c r="L95" s="75"/>
      <x:c r="M95" s="75"/>
      <x:c r="N95" s="75"/>
      <x:c r="O95" s="75"/>
      <x:c r="P95" s="75"/>
      <x:c r="Q95" s="75"/>
      <x:c r="R95" s="75"/>
      <x:c r="S95" s="75"/>
      <x:c r="T95" s="75"/>
      <x:c r="U95" s="75"/>
      <x:c r="V95" s="110"/>
      <x:c r="W95" s="110"/>
      <x:c r="X95" s="75"/>
      <x:c r="Y95" s="75"/>
      <x:c r="Z95" s="75"/>
      <x:c r="AA95" s="75"/>
      <x:c r="AB95" s="75"/>
      <x:c r="AC95" s="75"/>
      <x:c r="AD95" s="75"/>
    </x:row>
    <x:row r="96">
      <x:c r="A96" s="75"/>
      <x:c r="B96" s="75"/>
      <x:c r="C96" s="110"/>
      <x:c r="D96" s="110"/>
      <x:c r="E96" s="75"/>
      <x:c r="F96" s="75"/>
      <x:c r="G96" s="75"/>
      <x:c r="H96" s="75"/>
      <x:c r="I96" s="75"/>
      <x:c r="J96" s="75"/>
      <x:c r="K96" s="75"/>
      <x:c r="L96" s="75"/>
      <x:c r="M96" s="75"/>
      <x:c r="N96" s="75"/>
      <x:c r="O96" s="75"/>
      <x:c r="P96" s="75"/>
      <x:c r="Q96" s="75"/>
      <x:c r="R96" s="75"/>
      <x:c r="S96" s="75"/>
      <x:c r="T96" s="75"/>
      <x:c r="U96" s="75"/>
      <x:c r="V96" s="110"/>
      <x:c r="W96" s="110"/>
      <x:c r="X96" s="75"/>
      <x:c r="Y96" s="75"/>
      <x:c r="Z96" s="75"/>
      <x:c r="AA96" s="75"/>
      <x:c r="AB96" s="75"/>
      <x:c r="AC96" s="75"/>
      <x:c r="AD96" s="75"/>
    </x:row>
    <x:row r="97">
      <x:c r="A97" s="75"/>
      <x:c r="B97" s="75"/>
      <x:c r="C97" s="110"/>
      <x:c r="D97" s="110"/>
      <x:c r="E97" s="75"/>
      <x:c r="F97" s="75"/>
      <x:c r="G97" s="75"/>
      <x:c r="H97" s="75"/>
      <x:c r="I97" s="75"/>
      <x:c r="J97" s="75"/>
      <x:c r="K97" s="75"/>
      <x:c r="L97" s="75"/>
      <x:c r="M97" s="75"/>
      <x:c r="N97" s="75"/>
      <x:c r="O97" s="75"/>
      <x:c r="P97" s="75"/>
      <x:c r="Q97" s="75"/>
      <x:c r="R97" s="75"/>
      <x:c r="S97" s="75"/>
      <x:c r="T97" s="75"/>
      <x:c r="U97" s="75"/>
      <x:c r="V97" s="110"/>
      <x:c r="W97" s="110"/>
      <x:c r="X97" s="75"/>
      <x:c r="Y97" s="75"/>
      <x:c r="Z97" s="75"/>
      <x:c r="AA97" s="75"/>
      <x:c r="AB97" s="75"/>
      <x:c r="AC97" s="75"/>
      <x:c r="AD97" s="75"/>
    </x:row>
    <x:row r="98">
      <x:c r="A98" s="75"/>
      <x:c r="B98" s="75"/>
      <x:c r="C98" s="110"/>
      <x:c r="D98" s="110"/>
      <x:c r="E98" s="75"/>
      <x:c r="F98" s="75"/>
      <x:c r="G98" s="75"/>
      <x:c r="H98" s="75"/>
      <x:c r="I98" s="75"/>
      <x:c r="J98" s="75"/>
      <x:c r="K98" s="75"/>
      <x:c r="L98" s="75"/>
      <x:c r="M98" s="75"/>
      <x:c r="N98" s="75"/>
      <x:c r="O98" s="75"/>
      <x:c r="P98" s="75"/>
      <x:c r="Q98" s="75"/>
      <x:c r="R98" s="75"/>
      <x:c r="S98" s="75"/>
      <x:c r="T98" s="75"/>
      <x:c r="U98" s="75"/>
      <x:c r="V98" s="110"/>
      <x:c r="W98" s="110"/>
      <x:c r="X98" s="75"/>
      <x:c r="Y98" s="75"/>
      <x:c r="Z98" s="75"/>
      <x:c r="AA98" s="75"/>
      <x:c r="AB98" s="75"/>
      <x:c r="AC98" s="75"/>
      <x:c r="AD98" s="75"/>
    </x:row>
    <x:row r="99">
      <x:c r="A99" s="75"/>
      <x:c r="B99" s="75"/>
      <x:c r="C99" s="110"/>
      <x:c r="D99" s="110"/>
      <x:c r="E99" s="75"/>
      <x:c r="F99" s="75"/>
      <x:c r="G99" s="75"/>
      <x:c r="H99" s="75"/>
      <x:c r="I99" s="75"/>
      <x:c r="J99" s="75"/>
      <x:c r="K99" s="75"/>
      <x:c r="L99" s="75"/>
      <x:c r="M99" s="75"/>
      <x:c r="N99" s="75"/>
      <x:c r="O99" s="75"/>
      <x:c r="P99" s="75"/>
      <x:c r="Q99" s="75"/>
      <x:c r="R99" s="75"/>
      <x:c r="S99" s="75"/>
      <x:c r="T99" s="75"/>
      <x:c r="U99" s="75"/>
      <x:c r="V99" s="110"/>
      <x:c r="W99" s="110"/>
      <x:c r="X99" s="75"/>
      <x:c r="Y99" s="75"/>
      <x:c r="Z99" s="75"/>
      <x:c r="AA99" s="75"/>
      <x:c r="AB99" s="75"/>
      <x:c r="AC99" s="75"/>
      <x:c r="AD99" s="75"/>
    </x:row>
    <x:row r="100">
      <x:c r="A100" s="75"/>
      <x:c r="B100" s="75"/>
      <x:c r="C100" s="110"/>
      <x:c r="D100" s="110"/>
      <x:c r="E100" s="75"/>
      <x:c r="F100" s="75"/>
      <x:c r="G100" s="75"/>
      <x:c r="H100" s="75"/>
      <x:c r="I100" s="75"/>
      <x:c r="J100" s="75"/>
      <x:c r="K100" s="75"/>
      <x:c r="L100" s="75"/>
      <x:c r="M100" s="75"/>
      <x:c r="N100" s="75"/>
      <x:c r="O100" s="75"/>
      <x:c r="P100" s="75"/>
      <x:c r="Q100" s="75"/>
      <x:c r="R100" s="75"/>
      <x:c r="S100" s="75"/>
      <x:c r="T100" s="75"/>
      <x:c r="U100" s="75"/>
      <x:c r="V100" s="110"/>
      <x:c r="W100" s="110"/>
      <x:c r="X100" s="75"/>
      <x:c r="Y100" s="75"/>
      <x:c r="Z100" s="75"/>
      <x:c r="AA100" s="75"/>
      <x:c r="AB100" s="75"/>
      <x:c r="AC100" s="75"/>
      <x:c r="AD100" s="75"/>
    </x:row>
  </x:sheetData>
  <x:conditionalFormatting sqref="J2:J16">
    <x:cfRule type="containsText" dxfId="1" priority="1" operator="containsText" text="P1"/>
  </x:conditionalFormatting>
  <x:conditionalFormatting sqref="T2:T16">
    <x:cfRule type="cellIs" dxfId="2" priority="2" operator="greaterThan">
      <x:formula>0</x:formula>
    </x:cfRule>
  </x:conditionalFormatting>
  <x:dataValidations count="10">
    <x:dataValidation type="list" sqref="H2:H100">
      <x:formula1>"HIGH,MEDIUM,LOW"</x:formula1>
    </x:dataValidation>
    <x:dataValidation type="list" sqref="J2:J100">
      <x:formula1>"P1,P2,P3"</x:formula1>
    </x:dataValidation>
    <x:dataValidation type="list" sqref="L2:L100">
      <x:formula1>"UNDECIDED,MONITOR,TEST,ADOPT,DISMISS"</x:formula1>
    </x:dataValidation>
    <x:dataValidation type="list" sqref="M2:M100">
      <x:formula1>"OPEN,CLOSED"</x:formula1>
    </x:dataValidation>
    <x:dataValidation type="list" sqref="P2:P100">
      <x:formula1>"NOT_STARTED,IN_PROGRESS,COMPLETED,CANCELLED"</x:formula1>
    </x:dataValidation>
    <x:dataValidation type="list" sqref="Q2:Q100">
      <x:formula1>"Y,N"</x:formula1>
    </x:dataValidation>
    <x:dataValidation type="list" sqref="Y2:Y100">
      <x:formula1>"YES,NO"</x:formula1>
    </x:dataValidation>
    <x:dataValidation type="whole" operator="between" sqref="Z2:Z100">
      <x:formula1>1</x:formula1>
      <x:formula2>5</x:formula2>
    </x:dataValidation>
    <x:dataValidation type="list" sqref="AA2:AA100">
      <x:formula1>"EXECUTED,SCHEDULED,EDITED,REJECTED,FORGOTTEN"</x:formula1>
    </x:dataValidation>
    <x:dataValidation type="list" sqref="AD2:AD100">
      <x:formula1>"PENDING,CONFIRMED"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b632d1a69545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4" hidden="0" customWidth="1"/>
    <x:col min="3" max="3" width="24" hidden="0" customWidth="1"/>
    <x:col min="4" max="4" width="28" hidden="0" customWidth="1"/>
    <x:col min="5" max="5" width="14" hidden="0" customWidth="1"/>
    <x:col min="6" max="6" width="54" hidden="0" customWidth="1"/>
    <x:col min="7" max="7" width="17" hidden="0" customWidth="1"/>
    <x:col min="8" max="8" width="17" hidden="0" customWidth="1"/>
    <x:col min="9" max="9" width="17" hidden="0" customWidth="1"/>
    <x:col min="10" max="10" width="48" hidden="0" customWidth="1"/>
  </x:cols>
  <x:sheetData>
    <x:row r="1">
      <x:c r="A1" s="120" t="str">
        <x:v>Source ID</x:v>
      </x:c>
      <x:c r="B1" s="123" t="str">
        <x:v>Title</x:v>
      </x:c>
      <x:c r="C1" s="123" t="str">
        <x:v>Source type</x:v>
      </x:c>
      <x:c r="D1" s="123" t="str">
        <x:v>Publisher</x:v>
      </x:c>
      <x:c r="E1" s="123" t="str">
        <x:v>Publication date</x:v>
      </x:c>
      <x:c r="F1" s="123" t="str">
        <x:v>URL / identifier</x:v>
      </x:c>
      <x:c r="G1" s="123" t="str">
        <x:v>Origin</x:v>
      </x:c>
      <x:c r="H1" s="123" t="str">
        <x:v>Peer reviewed?</x:v>
      </x:c>
      <x:c r="I1" s="123" t="str">
        <x:v>Method transparency</x:v>
      </x:c>
      <x:c r="J1" s="121" t="str">
        <x:v>Evidence note</x:v>
      </x:c>
    </x:row>
    <x:row r="2" ht="54" customHeight="1">
      <x:c r="A2" s="76" t="str">
        <x:v>SRC001</x:v>
      </x:c>
      <x:c r="B2" s="76" t="str">
        <x:v>AlphaEarth Foundations helps map our planet in unprecedented detail</x:v>
      </x:c>
      <x:c r="C2" s="76" t="str">
        <x:v>OFFICIAL_ANNOUNCEMENT</x:v>
      </x:c>
      <x:c r="D2" s="76" t="str">
        <x:v>Google DeepMind</x:v>
      </x:c>
      <x:c r="E2" s="107" t="n">
        <x:v>45868</x:v>
      </x:c>
      <x:c r="F2" s="76" t="str">
        <x:v>https://deepmind.google/blog/alphaearth-foundations-helps-map-our-planet-in-unprecedented-detail/</x:v>
      </x:c>
      <x:c r="G2" s="76" t="str">
        <x:v>PRIMARY</x:v>
      </x:c>
      <x:c r="H2" s="76" t="str">
        <x:v>NO</x:v>
      </x:c>
      <x:c r="I2" s="76" t="str">
        <x:v>PARTIAL</x:v>
      </x:c>
      <x:c r="J2" s="76" t="str">
        <x:v>Confirms model and Earth Engine dataset release; does not establish tourism use performance.</x:v>
      </x:c>
    </x:row>
    <x:row r="3" ht="54" customHeight="1">
      <x:c r="A3" s="76" t="str">
        <x:v>SRC002</x:v>
      </x:c>
      <x:c r="B3" s="76" t="str">
        <x:v>AlphaEarth Foundations GCS data</x:v>
      </x:c>
      <x:c r="C3" s="76" t="str">
        <x:v>DATASET_OR_DOCUMENTATION</x:v>
      </x:c>
      <x:c r="D3" s="76" t="str">
        <x:v>Google Earth Engine</x:v>
      </x:c>
      <x:c r="E3" s="107" t="n">
        <x:v>46204</x:v>
      </x:c>
      <x:c r="F3" s="76" t="str">
        <x:v>https://developers.google.com/earth-engine/guides/aef_on_gcs_readme</x:v>
      </x:c>
      <x:c r="G3" s="76" t="str">
        <x:v>PRIMARY</x:v>
      </x:c>
      <x:c r="H3" s="76" t="str">
        <x:v>NOT_APPLICABLE</x:v>
      </x:c>
      <x:c r="I3" s="76" t="str">
        <x:v>CLEAR</x:v>
      </x:c>
      <x:c r="J3" s="76" t="str">
        <x:v>July 2026 month precision. Documents annual embeddings for 2017–2025 and provider-pays GCS access.</x:v>
      </x:c>
    </x:row>
    <x:row r="4" ht="54" customHeight="1">
      <x:c r="A4" s="76" t="str">
        <x:v>SRC003</x:v>
      </x:c>
      <x:c r="B4" s="76" t="str">
        <x:v>Guidelines on transparency obligations for providers and deployers of AI systems</x:v>
      </x:c>
      <x:c r="C4" s="76" t="str">
        <x:v>POLICY_OR_REGULATION</x:v>
      </x:c>
      <x:c r="D4" s="76" t="str">
        <x:v>European Commission</x:v>
      </x:c>
      <x:c r="E4" s="107" t="n">
        <x:v>46223</x:v>
      </x:c>
      <x:c r="F4" s="76" t="str">
        <x:v>https://digital-strategy.ec.europa.eu/en/library/guidelines-transparency-obligations-providers-and-deployers-ai-systems</x:v>
      </x:c>
      <x:c r="G4" s="76" t="str">
        <x:v>PRIMARY</x:v>
      </x:c>
      <x:c r="H4" s="76" t="str">
        <x:v>NOT_APPLICABLE</x:v>
      </x:c>
      <x:c r="I4" s="76" t="str">
        <x:v>CLEAR</x:v>
      </x:c>
      <x:c r="J4" s="76" t="str">
        <x:v>Article 50 transparency obligations apply from 2 August 2026.</x:v>
      </x:c>
    </x:row>
    <x:row r="5" ht="54" customHeight="1">
      <x:c r="A5" s="76" t="str">
        <x:v>SRC004</x:v>
      </x:c>
      <x:c r="B5" s="76" t="str">
        <x:v>Commission starts enforcing AI Act rules and new transparency requirements on 2 August</x:v>
      </x:c>
      <x:c r="C5" s="76" t="str">
        <x:v>OFFICIAL_ANNOUNCEMENT</x:v>
      </x:c>
      <x:c r="D5" s="76" t="str">
        <x:v>European Commission</x:v>
      </x:c>
      <x:c r="E5" s="107" t="n">
        <x:v>46234</x:v>
      </x:c>
      <x:c r="F5" s="76" t="str">
        <x:v>https://digital-strategy.ec.europa.eu/en/news/commission-starts-enforcing-ai-act-rules-and-new-transparency-requirements-2-august</x:v>
      </x:c>
      <x:c r="G5" s="76" t="str">
        <x:v>PRIMARY</x:v>
      </x:c>
      <x:c r="H5" s="76" t="str">
        <x:v>NOT_APPLICABLE</x:v>
      </x:c>
      <x:c r="I5" s="76" t="str">
        <x:v>CLEAR</x:v>
      </x:c>
      <x:c r="J5" s="76" t="str">
        <x:v>Confirms enforcement start and labeling duties for certain AI interactions/content.</x:v>
      </x:c>
    </x:row>
    <x:row r="6" ht="54" customHeight="1">
      <x:c r="A6" s="76" t="str">
        <x:v>SRC005</x:v>
      </x:c>
      <x:c r="B6" s="76" t="str">
        <x:v>New rules bring increased transparency to the short-term rentals sector</x:v>
      </x:c>
      <x:c r="C6" s="76" t="str">
        <x:v>OFFICIAL_ANNOUNCEMENT</x:v>
      </x:c>
      <x:c r="D6" s="76" t="str">
        <x:v>European Commission</x:v>
      </x:c>
      <x:c r="E6" s="107" t="n">
        <x:v>46162</x:v>
      </x:c>
      <x:c r="F6" s="76" t="str">
        <x:v>https://single-market-economy.ec.europa.eu/news/new-rules-bring-increased-transparency-short-term-rentals-sector-2026-05-20_en</x:v>
      </x:c>
      <x:c r="G6" s="76" t="str">
        <x:v>PRIMARY</x:v>
      </x:c>
      <x:c r="H6" s="76" t="str">
        <x:v>NOT_APPLICABLE</x:v>
      </x:c>
      <x:c r="I6" s="76" t="str">
        <x:v>CLEAR</x:v>
      </x:c>
      <x:c r="J6" s="76" t="str">
        <x:v>Explains registration numbers, platform verification, monthly data and Single Digital Entry Points.</x:v>
      </x:c>
    </x:row>
    <x:row r="7" ht="54" customHeight="1">
      <x:c r="A7" s="76" t="str">
        <x:v>SRC006</x:v>
      </x:c>
      <x:c r="B7" s="76" t="str">
        <x:v>Regulation (EU) 2024/1028 on short-term accommodation rental data</x:v>
      </x:c>
      <x:c r="C7" s="76" t="str">
        <x:v>POLICY_OR_REGULATION</x:v>
      </x:c>
      <x:c r="D7" s="76" t="str">
        <x:v>Official Journal of the European Union</x:v>
      </x:c>
      <x:c r="E7" s="107" t="n">
        <x:v>45393</x:v>
      </x:c>
      <x:c r="F7" s="76" t="str">
        <x:v>https://eur-lex.europa.eu/legal-content/EN/TXT/PDF/?uri=OJ:L_202401028</x:v>
      </x:c>
      <x:c r="G7" s="76" t="str">
        <x:v>PRIMARY</x:v>
      </x:c>
      <x:c r="H7" s="76" t="str">
        <x:v>NOT_APPLICABLE</x:v>
      </x:c>
      <x:c r="I7" s="76" t="str">
        <x:v>CLEAR</x:v>
      </x:c>
      <x:c r="J7" s="76" t="str">
        <x:v>Legal text; application began 20 May 2026.</x:v>
      </x:c>
    </x:row>
    <x:row r="8" ht="54" customHeight="1">
      <x:c r="A8" s="76" t="str">
        <x:v>SRC007</x:v>
      </x:c>
      <x:c r="B8" s="76" t="str">
        <x:v>Booking must now comply with the Digital Markets Act</x:v>
      </x:c>
      <x:c r="C8" s="76" t="str">
        <x:v>OFFICIAL_ANNOUNCEMENT</x:v>
      </x:c>
      <x:c r="D8" s="76" t="str">
        <x:v>European Commission</x:v>
      </x:c>
      <x:c r="E8" s="107" t="n">
        <x:v>45610</x:v>
      </x:c>
      <x:c r="F8" s="76" t="str">
        <x:v>https://digital-strategy.ec.europa.eu/en/news/booking-must-now-comply-digital-markets-act</x:v>
      </x:c>
      <x:c r="G8" s="76" t="str">
        <x:v>PRIMARY</x:v>
      </x:c>
      <x:c r="H8" s="76" t="str">
        <x:v>NOT_APPLICABLE</x:v>
      </x:c>
      <x:c r="I8" s="76" t="str">
        <x:v>CLEAR</x:v>
      </x:c>
      <x:c r="J8" s="76" t="str">
        <x:v>Confirms parity-clause prohibition and business-user data access rights.</x:v>
      </x:c>
    </x:row>
    <x:row r="9" ht="54" customHeight="1">
      <x:c r="A9" s="76" t="str">
        <x:v>SRC008</x:v>
      </x:c>
      <x:c r="B9" s="76" t="str">
        <x:v>Booking Holdings Digital Markets Act compliance report</x:v>
      </x:c>
      <x:c r="C9" s="76" t="str">
        <x:v>TECHNICAL_REPORT</x:v>
      </x:c>
      <x:c r="D9" s="76" t="str">
        <x:v>Booking Holdings</x:v>
      </x:c>
      <x:c r="E9" s="107" t="n">
        <x:v>45610</x:v>
      </x:c>
      <x:c r="F9" s="76" t="str">
        <x:v>https://www.bookingholdings.com/wp-content/uploads/2024/11/DMA-Compliance-Report.pdf</x:v>
      </x:c>
      <x:c r="G9" s="76" t="str">
        <x:v>PRIMARY</x:v>
      </x:c>
      <x:c r="H9" s="76" t="str">
        <x:v>NO</x:v>
      </x:c>
      <x:c r="I9" s="76" t="str">
        <x:v>PARTIAL</x:v>
      </x:c>
      <x:c r="J9" s="76" t="str">
        <x:v>Self-reported compliance; direct for measures claimed, not independent evidence of outcomes.</x:v>
      </x:c>
    </x:row>
    <x:row r="10" ht="54" customHeight="1">
      <x:c r="A10" s="76" t="str">
        <x:v>SRC009</x:v>
      </x:c>
      <x:c r="B10" s="76" t="str">
        <x:v>Draft European Parliament resolution on DMA implementation</x:v>
      </x:c>
      <x:c r="C10" s="76" t="str">
        <x:v>POLICY_OR_REGULATION</x:v>
      </x:c>
      <x:c r="D10" s="76" t="str">
        <x:v>European Parliament IMCO Committee</x:v>
      </x:c>
      <x:c r="E10" s="107" t="n">
        <x:v>46104</x:v>
      </x:c>
      <x:c r="F10" s="76" t="str">
        <x:v>https://www.europarl.europa.eu/meetdocs/2024_2029/plmrep/COMMITTEES/IMCO/DV/2026/03-23/9-DraftDMAresolution_EN.pdf</x:v>
      </x:c>
      <x:c r="G10" s="76" t="str">
        <x:v>PRIMARY</x:v>
      </x:c>
      <x:c r="H10" s="76" t="str">
        <x:v>NO</x:v>
      </x:c>
      <x:c r="I10" s="76" t="str">
        <x:v>PARTIAL</x:v>
      </x:c>
      <x:c r="J10" s="76" t="str">
        <x:v>Draft scrutiny material; raises concern about measures equivalent to prohibited parity clauses.</x:v>
      </x:c>
    </x:row>
    <x:row r="11" ht="54" customHeight="1">
      <x:c r="A11" s="76" t="str">
        <x:v>SRC010</x:v>
      </x:c>
      <x:c r="B11" s="76" t="str">
        <x:v>How will the Entry/Exit System work?</x:v>
      </x:c>
      <x:c r="C11" s="76" t="str">
        <x:v>DATASET_OR_DOCUMENTATION</x:v>
      </x:c>
      <x:c r="D11" s="76" t="str">
        <x:v>European Union — Travel Europe</x:v>
      </x:c>
      <x:c r="E11" s="107" t="n">
        <x:v>46122</x:v>
      </x:c>
      <x:c r="F11" s="76" t="str">
        <x:v>https://travel-europe.europa.eu/ees/ltr/how-will-ees-work-what-new-during-border-checks.html</x:v>
      </x:c>
      <x:c r="G11" s="76" t="str">
        <x:v>PRIMARY</x:v>
      </x:c>
      <x:c r="H11" s="76" t="str">
        <x:v>NOT_APPLICABLE</x:v>
      </x:c>
      <x:c r="I11" s="76" t="str">
        <x:v>CLEAR</x:v>
      </x:c>
      <x:c r="J11" s="76" t="str">
        <x:v>Living guidance; date records full implementation milestone, not page publication date.</x:v>
      </x:c>
    </x:row>
    <x:row r="12" ht="54" customHeight="1">
      <x:c r="A12" s="76" t="str">
        <x:v>SRC011</x:v>
      </x:c>
      <x:c r="B12" s="76" t="str">
        <x:v>Commission brings clarity on ReFuelEU Aviation implementation</x:v>
      </x:c>
      <x:c r="C12" s="76" t="str">
        <x:v>OFFICIAL_ANNOUNCEMENT</x:v>
      </x:c>
      <x:c r="D12" s="76" t="str">
        <x:v>European Commission</x:v>
      </x:c>
      <x:c r="E12" s="107" t="n">
        <x:v>45716</x:v>
      </x:c>
      <x:c r="F12" s="76" t="str">
        <x:v>https://transport.ec.europa.eu/news-events/news/commission-brings-clarity-refueleu-aviation-implementation-2025-02-28_en</x:v>
      </x:c>
      <x:c r="G12" s="76" t="str">
        <x:v>PRIMARY</x:v>
      </x:c>
      <x:c r="H12" s="76" t="str">
        <x:v>NOT_APPLICABLE</x:v>
      </x:c>
      <x:c r="I12" s="76" t="str">
        <x:v>CLEAR</x:v>
      </x:c>
      <x:c r="J12" s="76" t="str">
        <x:v>Confirms 2% SAF mandate and implementation guidance.</x:v>
      </x:c>
    </x:row>
    <x:row r="13" ht="54" customHeight="1">
      <x:c r="A13" s="76" t="str">
        <x:v>SRC012</x:v>
      </x:c>
      <x:c r="B13" s="76" t="str">
        <x:v>New report shows progress in sustainable aviation fuel uptake across the EU</x:v>
      </x:c>
      <x:c r="C13" s="76" t="str">
        <x:v>TECHNICAL_REPORT</x:v>
      </x:c>
      <x:c r="D13" s="76" t="str">
        <x:v>European Commission / EASA</x:v>
      </x:c>
      <x:c r="E13" s="107" t="n">
        <x:v>45952</x:v>
      </x:c>
      <x:c r="F13" s="76" t="str">
        <x:v>https://transport.ec.europa.eu/news-events/news/new-report-shows-progress-sustainable-aviation-fuel-uptake-across-eu-2025-10-22_en</x:v>
      </x:c>
      <x:c r="G13" s="76" t="str">
        <x:v>PRIMARY</x:v>
      </x:c>
      <x:c r="H13" s="76" t="str">
        <x:v>NO</x:v>
      </x:c>
      <x:c r="I13" s="76" t="str">
        <x:v>CLEAR</x:v>
      </x:c>
      <x:c r="J13" s="76" t="str">
        <x:v>Reports supply concentration and early stage of synthetic fuels.</x:v>
      </x:c>
    </x:row>
    <x:row r="14" ht="54" customHeight="1">
      <x:c r="A14" s="76" t="str">
        <x:v>SRC013</x:v>
      </x:c>
      <x:c r="B14" s="76" t="str">
        <x:v>The EU becomes more accessible for all</x:v>
      </x:c>
      <x:c r="C14" s="76" t="str">
        <x:v>OFFICIAL_ANNOUNCEMENT</x:v>
      </x:c>
      <x:c r="D14" s="76" t="str">
        <x:v>European Commission</x:v>
      </x:c>
      <x:c r="E14" s="107" t="n">
        <x:v>45869</x:v>
      </x:c>
      <x:c r="F14" s="76" t="str">
        <x:v>https://commission.europa.eu/news-and-media/news/eu-becomes-more-accessible-all-2025-07-31_en</x:v>
      </x:c>
      <x:c r="G14" s="76" t="str">
        <x:v>PRIMARY</x:v>
      </x:c>
      <x:c r="H14" s="76" t="str">
        <x:v>NOT_APPLICABLE</x:v>
      </x:c>
      <x:c r="I14" s="76" t="str">
        <x:v>CLEAR</x:v>
      </x:c>
      <x:c r="J14" s="76" t="str">
        <x:v>Summarizes European Accessibility Act coverage after June 2025 application.</x:v>
      </x:c>
    </x:row>
    <x:row r="15" ht="54" customHeight="1">
      <x:c r="A15" s="76" t="str">
        <x:v>SRC014</x:v>
      </x:c>
      <x:c r="B15" s="76" t="str">
        <x:v>Nature Restoration Regulation</x:v>
      </x:c>
      <x:c r="C15" s="76" t="str">
        <x:v>POLICY_OR_REGULATION</x:v>
      </x:c>
      <x:c r="D15" s="76" t="str">
        <x:v>European Commission</x:v>
      </x:c>
      <x:c r="E15" s="107" t="n">
        <x:v>45522</x:v>
      </x:c>
      <x:c r="F15" s="76" t="str">
        <x:v>https://environment.ec.europa.eu/topics/nature-and-biodiversity/nature-restoration-regulation_en</x:v>
      </x:c>
      <x:c r="G15" s="76" t="str">
        <x:v>PRIMARY</x:v>
      </x:c>
      <x:c r="H15" s="76" t="str">
        <x:v>NOT_APPLICABLE</x:v>
      </x:c>
      <x:c r="I15" s="76" t="str">
        <x:v>CLEAR</x:v>
      </x:c>
      <x:c r="J15" s="76" t="str">
        <x:v>Living policy page; date records entry into force. National plans due September 2026.</x:v>
      </x:c>
    </x:row>
    <x:row r="16" ht="54" customHeight="1">
      <x:c r="A16" s="76" t="str">
        <x:v>SRC015</x:v>
      </x:c>
      <x:c r="B16" s="76" t="str">
        <x:v>Commission adopts planning tool for the Nature Restoration Regulation</x:v>
      </x:c>
      <x:c r="C16" s="76" t="str">
        <x:v>OFFICIAL_ANNOUNCEMENT</x:v>
      </x:c>
      <x:c r="D16" s="76" t="str">
        <x:v>European Commission</x:v>
      </x:c>
      <x:c r="E16" s="107" t="n">
        <x:v>45797</x:v>
      </x:c>
      <x:c r="F16" s="76" t="str">
        <x:v>https://environment.ec.europa.eu/news/commission-adopts-user-friendly-planning-tool-support-member-states-implementing-nature-restoration-2025-05-20_en</x:v>
      </x:c>
      <x:c r="G16" s="76" t="str">
        <x:v>PRIMARY</x:v>
      </x:c>
      <x:c r="H16" s="76" t="str">
        <x:v>NOT_APPLICABLE</x:v>
      </x:c>
      <x:c r="I16" s="76" t="str">
        <x:v>CLEAR</x:v>
      </x:c>
      <x:c r="J16" s="76" t="str">
        <x:v>Confirms uniform plan format and 1 September 2026 draft submission date.</x:v>
      </x:c>
    </x:row>
    <x:row r="17" ht="54" customHeight="1">
      <x:c r="A17" s="76" t="str">
        <x:v>SRC016</x:v>
      </x:c>
      <x:c r="B17" s="76" t="str">
        <x:v>European State of the Climate 2025</x:v>
      </x:c>
      <x:c r="C17" s="76" t="str">
        <x:v>SCIENTIFIC_STUDY</x:v>
      </x:c>
      <x:c r="D17" s="76" t="str">
        <x:v>Copernicus Climate Change Service and WMO</x:v>
      </x:c>
      <x:c r="E17" s="107" t="n">
        <x:v>46141</x:v>
      </x:c>
      <x:c r="F17" s="76" t="str">
        <x:v>https://climate.copernicus.eu/esotc/2025</x:v>
      </x:c>
      <x:c r="G17" s="76" t="str">
        <x:v>PRIMARY</x:v>
      </x:c>
      <x:c r="H17" s="76" t="str">
        <x:v>YES</x:v>
      </x:c>
      <x:c r="I17" s="76" t="str">
        <x:v>CLEAR</x:v>
      </x:c>
      <x:c r="J17" s="76" t="str">
        <x:v>Scientific synthesis with open charts/data; documents increasing heat stress.</x:v>
      </x:c>
    </x:row>
    <x:row r="18" ht="54" customHeight="1">
      <x:c r="A18" s="76" t="str">
        <x:v>SRC017</x:v>
      </x:c>
      <x:c r="B18" s="76" t="str">
        <x:v>European Climate Risk Assessment</x:v>
      </x:c>
      <x:c r="C18" s="76" t="str">
        <x:v>TECHNICAL_REPORT</x:v>
      </x:c>
      <x:c r="D18" s="76" t="str">
        <x:v>European Environment Agency</x:v>
      </x:c>
      <x:c r="E18" s="107" t="n">
        <x:v>45362</x:v>
      </x:c>
      <x:c r="F18" s="76" t="str">
        <x:v>https://www.eea.europa.eu/en/analysis/publications/european-climate-risk-assessment</x:v>
      </x:c>
      <x:c r="G18" s="76" t="str">
        <x:v>PRIMARY</x:v>
      </x:c>
      <x:c r="H18" s="76" t="str">
        <x:v>NO</x:v>
      </x:c>
      <x:c r="I18" s="76" t="str">
        <x:v>CLEAR</x:v>
      </x:c>
      <x:c r="J18" s="76" t="str">
        <x:v>Synthesizes 36 climate risks and identifies southern European tourism exposure.</x:v>
      </x:c>
    </x:row>
    <x:row r="19" ht="54" customHeight="1">
      <x:c r="A19" s="76" t="str">
        <x:v>SRC018</x:v>
      </x:c>
      <x:c r="B19" s="76" t="str">
        <x:v>Another record year for EU tourism in 2025</x:v>
      </x:c>
      <x:c r="C19" s="76" t="str">
        <x:v>DATASET_OR_DOCUMENTATION</x:v>
      </x:c>
      <x:c r="D19" s="76" t="str">
        <x:v>Eurostat</x:v>
      </x:c>
      <x:c r="E19" s="107" t="n">
        <x:v>46085</x:v>
      </x:c>
      <x:c r="F19" s="76" t="str">
        <x:v>https://ec.europa.eu/eurostat/web/products-eurostat-news/w/ddn-20260304-1</x:v>
      </x:c>
      <x:c r="G19" s="76" t="str">
        <x:v>PRIMARY</x:v>
      </x:c>
      <x:c r="H19" s="76" t="str">
        <x:v>NOT_APPLICABLE</x:v>
      </x:c>
      <x:c r="I19" s="76" t="str">
        <x:v>CLEAR</x:v>
      </x:c>
      <x:c r="J19" s="76" t="str">
        <x:v>3.1 billion accommodation nights in 2025, up 2.2%. Aggregate data do not resolve local displacement.</x:v>
      </x:c>
    </x:row>
    <x:row r="20" ht="54" customHeight="1">
      <x:c r="A20" s="76" t="str">
        <x:v>SRC019</x:v>
      </x:c>
      <x:c r="B20" s="76" t="str">
        <x:v>2025 was EU's most destructive wildfire season on record</x:v>
      </x:c>
      <x:c r="C20" s="76" t="str">
        <x:v>TECHNICAL_REPORT</x:v>
      </x:c>
      <x:c r="D20" s="76" t="str">
        <x:v>European Commission Joint Research Centre</x:v>
      </x:c>
      <x:c r="E20" s="107" t="n">
        <x:v>46112</x:v>
      </x:c>
      <x:c r="F20" s="76" t="str">
        <x:v>https://joint-research-centre.ec.europa.eu/jrc-news-and-updates/2025-was-eus-most-destructive-wildfire-season-record-2026-03-31_en</x:v>
      </x:c>
      <x:c r="G20" s="76" t="str">
        <x:v>PRIMARY</x:v>
      </x:c>
      <x:c r="H20" s="76" t="str">
        <x:v>NO</x:v>
      </x:c>
      <x:c r="I20" s="76" t="str">
        <x:v>CLEAR</x:v>
      </x:c>
      <x:c r="J20" s="76" t="str">
        <x:v>EFFIS satellite analysis: 1,079,538 ha burnt in EU; about 39% within Natura 2000.</x:v>
      </x:c>
    </x:row>
    <x:row r="21" ht="54" customHeight="1">
      <x:c r="A21" s="76" t="str">
        <x:v>SRC020</x:v>
      </x:c>
      <x:c r="B21" s="76" t="str">
        <x:v>Current wildfire situation in Europe</x:v>
      </x:c>
      <x:c r="C21" s="76" t="str">
        <x:v>DATASET_OR_DOCUMENTATION</x:v>
      </x:c>
      <x:c r="D21" s="76" t="str">
        <x:v>European Commission Joint Research Centre</x:v>
      </x:c>
      <x:c r="E21" s="107" t="n">
        <x:v>46204</x:v>
      </x:c>
      <x:c r="F21" s="76" t="str">
        <x:v>https://joint-research-centre.ec.europa.eu/projects-and-activities/natural-and-man-made-hazards/forest-fires/current-wildfire-situation-europe_en</x:v>
      </x:c>
      <x:c r="G21" s="76" t="str">
        <x:v>PRIMARY</x:v>
      </x:c>
      <x:c r="H21" s="76" t="str">
        <x:v>NOT_APPLICABLE</x:v>
      </x:c>
      <x:c r="I21" s="76" t="str">
        <x:v>CLEAR</x:v>
      </x:c>
      <x:c r="J21" s="76" t="str">
        <x:v>2026 year-to-date burnt area below 2025 but fires above the 20-year average.</x:v>
      </x:c>
    </x:row>
    <x:row r="22" ht="54" customHeight="1">
      <x:c r="A22" s="76" t="str">
        <x:v>SRC021</x:v>
      </x:c>
      <x:c r="B22" s="76" t="str">
        <x:v>European Water Resilience Strategy</x:v>
      </x:c>
      <x:c r="C22" s="76" t="str">
        <x:v>POLICY_OR_REGULATION</x:v>
      </x:c>
      <x:c r="D22" s="76" t="str">
        <x:v>European Commission</x:v>
      </x:c>
      <x:c r="E22" s="107" t="n">
        <x:v>45812</x:v>
      </x:c>
      <x:c r="F22" s="76" t="str">
        <x:v>https://op.europa.eu/en/publication-detail/-/publication/02d416a9-41c2-11f0-b9f2-01aa75ed71a1</x:v>
      </x:c>
      <x:c r="G22" s="76" t="str">
        <x:v>PRIMARY</x:v>
      </x:c>
      <x:c r="H22" s="76" t="str">
        <x:v>NOT_APPLICABLE</x:v>
      </x:c>
      <x:c r="I22" s="76" t="str">
        <x:v>CLEAR</x:v>
      </x:c>
      <x:c r="J22" s="76" t="str">
        <x:v>Sets EU objective to improve water efficiency by at least 10% by 2030.</x:v>
      </x:c>
    </x:row>
    <x:row r="23" ht="54" customHeight="1">
      <x:c r="A23" s="76" t="str">
        <x:v>SRC022</x:v>
      </x:c>
      <x:c r="B23" s="76" t="str">
        <x:v>Water savings for a water-resilient Europe</x:v>
      </x:c>
      <x:c r="C23" s="76" t="str">
        <x:v>TECHNICAL_REPORT</x:v>
      </x:c>
      <x:c r="D23" s="76" t="str">
        <x:v>European Environment Agency</x:v>
      </x:c>
      <x:c r="E23" s="107" t="n">
        <x:v>45993</x:v>
      </x:c>
      <x:c r="F23" s="76" t="str">
        <x:v>https://www.eea.europa.eu/en/analysis/publications/water-savings-for-a-water-resilient-europe</x:v>
      </x:c>
      <x:c r="G23" s="76" t="str">
        <x:v>PRIMARY</x:v>
      </x:c>
      <x:c r="H23" s="76" t="str">
        <x:v>NO</x:v>
      </x:c>
      <x:c r="I23" s="76" t="str">
        <x:v>CLEAR</x:v>
      </x:c>
      <x:c r="J23" s="76" t="str">
        <x:v>Date follows EEA 2025 briefing release context. Estimates 10–30% tourism water-saving potential with explicit uncertainty.</x:v>
      </x:c>
    </x:row>
    <x:row r="24" ht="54" customHeight="1">
      <x:c r="A24" s="76" t="str">
        <x:v>SRC023</x:v>
      </x:c>
      <x:c r="B24" s="76" t="str">
        <x:v>Tourism nights booked via platforms hit nearly 1 billion</x:v>
      </x:c>
      <x:c r="C24" s="76" t="str">
        <x:v>DATASET_OR_DOCUMENTATION</x:v>
      </x:c>
      <x:c r="D24" s="76" t="str">
        <x:v>Eurostat</x:v>
      </x:c>
      <x:c r="E24" s="107" t="n">
        <x:v>46113</x:v>
      </x:c>
      <x:c r="F24" s="76" t="str">
        <x:v>https://ec.europa.eu/eurostat/web/products-eurostat-news/w/ddn-20260401-1</x:v>
      </x:c>
      <x:c r="G24" s="76" t="str">
        <x:v>PRIMARY</x:v>
      </x:c>
      <x:c r="H24" s="76" t="str">
        <x:v>NOT_APPLICABLE</x:v>
      </x:c>
      <x:c r="I24" s="76" t="str">
        <x:v>CLEAR</x:v>
      </x:c>
      <x:c r="J24" s="76" t="str">
        <x:v>951.6 million platform-booked short-stay nights in 2025, up 11.4%.</x:v>
      </x:c>
    </x:row>
    <x:row r="25" ht="54" customHeight="1">
      <x:c r="A25" s="76" t="str">
        <x:v>SRC024</x:v>
      </x:c>
      <x:c r="B25" s="76" t="str">
        <x:v>EU Data Act gives users control over data from connected devices</x:v>
      </x:c>
      <x:c r="C25" s="76" t="str">
        <x:v>OFFICIAL_ANNOUNCEMENT</x:v>
      </x:c>
      <x:c r="D25" s="76" t="str">
        <x:v>European Commission</x:v>
      </x:c>
      <x:c r="E25" s="107" t="n">
        <x:v>45912</x:v>
      </x:c>
      <x:c r="F25" s="76" t="str">
        <x:v>https://digital-strategy.ec.europa.eu/en/news/eu-data-act-gives-users-control-over-data-connected-devices</x:v>
      </x:c>
      <x:c r="G25" s="76" t="str">
        <x:v>PRIMARY</x:v>
      </x:c>
      <x:c r="H25" s="76" t="str">
        <x:v>NOT_APPLICABLE</x:v>
      </x:c>
      <x:c r="I25" s="76" t="str">
        <x:v>CLEAR</x:v>
      </x:c>
      <x:c r="J25" s="76" t="str">
        <x:v>Confirms application and user access/share rights for connected-product data.</x:v>
      </x:c>
    </x:row>
    <x:row r="26" ht="54" customHeight="1">
      <x:c r="A26" s="76" t="str">
        <x:v>SRC025</x:v>
      </x:c>
      <x:c r="B26" s="76" t="str">
        <x:v>Guidance on vehicle data accompanying the Data Act</x:v>
      </x:c>
      <x:c r="C26" s="76" t="str">
        <x:v>POLICY_OR_REGULATION</x:v>
      </x:c>
      <x:c r="D26" s="76" t="str">
        <x:v>European Commission</x:v>
      </x:c>
      <x:c r="E26" s="107" t="n">
        <x:v>45912</x:v>
      </x:c>
      <x:c r="F26" s="76" t="str">
        <x:v>https://digital-strategy.ec.europa.eu/en/library/guidance-vehicle-data-accompanying-data-act</x:v>
      </x:c>
      <x:c r="G26" s="76" t="str">
        <x:v>PRIMARY</x:v>
      </x:c>
      <x:c r="H26" s="76" t="str">
        <x:v>NOT_APPLICABLE</x:v>
      </x:c>
      <x:c r="I26" s="76" t="str">
        <x:v>CLEAR</x:v>
      </x:c>
      <x:c r="J26" s="76" t="str">
        <x:v>Vehicle-specific guidance explicitly warns against automatic extrapolation to other industries/public sector.</x:v>
      </x:c>
    </x:row>
    <x:row r="27" ht="54" customHeight="1">
      <x:c r="A27" s="76" t="str">
        <x:v>SRC026</x:v>
      </x:c>
      <x:c r="B27" s="76" t="str">
        <x:v>Mobile Network Operator data for Official Statistics</x:v>
      </x:c>
      <x:c r="C27" s="76" t="str">
        <x:v>TECHNICAL_REPORT</x:v>
      </x:c>
      <x:c r="D27" s="76" t="str">
        <x:v>Eurostat CROS</x:v>
      </x:c>
      <x:c r="E27" s="107" t="n">
        <x:v>45538</x:v>
      </x:c>
      <x:c r="F27" s="76" t="str">
        <x:v>https://cros.ec.europa.eu/MNOdata4OS</x:v>
      </x:c>
      <x:c r="G27" s="76" t="str">
        <x:v>PRIMARY</x:v>
      </x:c>
      <x:c r="H27" s="76" t="str">
        <x:v>NO</x:v>
      </x:c>
      <x:c r="I27" s="76" t="str">
        <x:v>CLEAR</x:v>
      </x:c>
      <x:c r="J27" s="76" t="str">
        <x:v>Living resource; date anchors latest listed 2024 presentation. States capability plus privacy, access and methodology barriers.</x:v>
      </x:c>
    </x:row>
    <x:row r="28" ht="54" customHeight="1">
      <x:c r="A28" s="76" t="str">
        <x:v>SRC027</x:v>
      </x:c>
      <x:c r="B28" s="76" t="str">
        <x:v>Conference: Integrating MNO Data into Official Statistics</x:v>
      </x:c>
      <x:c r="C28" s="76" t="str">
        <x:v>EXPERT_COMMENTARY</x:v>
      </x:c>
      <x:c r="D28" s="76" t="str">
        <x:v>Eurostat CROS</x:v>
      </x:c>
      <x:c r="E28" s="107" t="n">
        <x:v>45923</x:v>
      </x:c>
      <x:c r="F28" s="76" t="str">
        <x:v>https://cros.ec.europa.eu/system/files/2025-10/Agenda_Conference%2023-25sept2025_v3.pdf</x:v>
      </x:c>
      <x:c r="G28" s="76" t="str">
        <x:v>PRIMARY</x:v>
      </x:c>
      <x:c r="H28" s="76" t="str">
        <x:v>NO</x:v>
      </x:c>
      <x:c r="I28" s="76" t="str">
        <x:v>CLEAR</x:v>
      </x:c>
      <x:c r="J28" s="76" t="str">
        <x:v>Agenda documents tourism use cases in Spain, Italy and Venice; not outcome evidence.</x:v>
      </x:c>
    </x:row>
    <x:row r="29" ht="54" customHeight="1">
      <x:c r="A29" s="76" t="str">
        <x:v>SRC028</x:v>
      </x:c>
      <x:c r="B29" s="76" t="str">
        <x:v>One country, multiple portraits: representativeness in GPS-based mobility data is source-specific</x:v>
      </x:c>
      <x:c r="C29" s="76" t="str">
        <x:v>SCIENTIFIC_STUDY</x:v>
      </x:c>
      <x:c r="D29" s="76" t="str">
        <x:v>arXiv preprint</x:v>
      </x:c>
      <x:c r="E29" s="107" t="n">
        <x:v>46203</x:v>
      </x:c>
      <x:c r="F29" s="76" t="str">
        <x:v>https://arxiv.org/abs/2606.23616</x:v>
      </x:c>
      <x:c r="G29" s="76" t="str">
        <x:v>PRIMARY</x:v>
      </x:c>
      <x:c r="H29" s="76" t="str">
        <x:v>NO</x:v>
      </x:c>
      <x:c r="I29" s="76" t="str">
        <x:v>CLEAR</x:v>
      </x:c>
      <x:c r="J29" s="76" t="str">
        <x:v>June 2026 month precision. Preprint warns coverage bias is source-specific and spatially dependent.</x:v>
      </x:c>
    </x:row>
    <x:row r="30" ht="54" customHeight="1">
      <x:c r="A30" s="76" t="str">
        <x:v>SRC029</x:v>
      </x:c>
      <x:c r="B30" s="76" t="str">
        <x:v>Common European data spaces — rollout status</x:v>
      </x:c>
      <x:c r="C30" s="76" t="str">
        <x:v>DATASET_OR_DOCUMENTATION</x:v>
      </x:c>
      <x:c r="D30" s="76" t="str">
        <x:v>European Commission</x:v>
      </x:c>
      <x:c r="E30" s="107" t="n">
        <x:v>46195</x:v>
      </x:c>
      <x:c r="F30" s="76" t="str">
        <x:v>https://digital-strategy.ec.europa.eu/en/policies/data-spaces</x:v>
      </x:c>
      <x:c r="G30" s="76" t="str">
        <x:v>PRIMARY</x:v>
      </x:c>
      <x:c r="H30" s="76" t="str">
        <x:v>NOT_APPLICABLE</x:v>
      </x:c>
      <x:c r="I30" s="76" t="str">
        <x:v>PARTIAL</x:v>
      </x:c>
      <x:c r="J30" s="76" t="str">
        <x:v>Lists Tourism: DeployTour and DATES; does not demonstrate production-ready APIs or datasets.</x:v>
      </x:c>
    </x:row>
    <x:row r="31" ht="54" customHeight="1">
      <x:c r="A31" s="76" t="str">
        <x:v>SRC030</x:v>
      </x:c>
      <x:c r="B31" s="76" t="str">
        <x:v>Towards a Common European Tourism Data Space</x:v>
      </x:c>
      <x:c r="C31" s="76" t="str">
        <x:v>POLICY_OR_REGULATION</x:v>
      </x:c>
      <x:c r="D31" s="76" t="str">
        <x:v>European Commission</x:v>
      </x:c>
      <x:c r="E31" s="107" t="n">
        <x:v>45127</x:v>
      </x:c>
      <x:c r="F31" s="76" t="str">
        <x:v>https://single-market-economy.ec.europa.eu/publications/communication-commission-towards-common-european-tourism-data-space_en</x:v>
      </x:c>
      <x:c r="G31" s="76" t="str">
        <x:v>PRIMARY</x:v>
      </x:c>
      <x:c r="H31" s="76" t="str">
        <x:v>NOT_APPLICABLE</x:v>
      </x:c>
      <x:c r="I31" s="76" t="str">
        <x:v>CLEAR</x:v>
      </x:c>
      <x:c r="J31" s="76" t="str">
        <x:v>Sets policy journey and intended capabilities; not operational proof.</x:v>
      </x:c>
    </x:row>
    <x:row r="32" ht="54" customHeight="1">
      <x:c r="A32" s="76" t="str">
        <x:v>SRC031</x:v>
      </x:c>
      <x:c r="B32" s="76" t="str">
        <x:v>Water scarcity conditions in Europe</x:v>
      </x:c>
      <x:c r="C32" s="76" t="str">
        <x:v>DATASET_OR_DOCUMENTATION</x:v>
      </x:c>
      <x:c r="D32" s="76" t="str">
        <x:v>European Environment Agency</x:v>
      </x:c>
      <x:c r="E32" s="107" t="n">
        <x:v>45993</x:v>
      </x:c>
      <x:c r="F32" s="76" t="str">
        <x:v>https://www.eea.europa.eu/en/analysis/indicators/use-of-freshwater-resources-in-europe-1</x:v>
      </x:c>
      <x:c r="G32" s="76" t="str">
        <x:v>PRIMARY</x:v>
      </x:c>
      <x:c r="H32" s="76" t="str">
        <x:v>NOT_APPLICABLE</x:v>
      </x:c>
      <x:c r="I32" s="76" t="str">
        <x:v>CLEAR</x:v>
      </x:c>
      <x:c r="J32" s="76" t="str">
        <x:v>Seasonal water stress affects southern Europe; tourism is identified as a pressure.</x:v>
      </x:c>
    </x:row>
  </x:sheetData>
  <x:pageMargins left="0.7" right="0.7" top="0.75" bottom="0.75" header="0.3" footer="0.3"/>
  <x:tableParts count="1">
    <x:tablePart xmlns:r="http://schemas.openxmlformats.org/officeDocument/2006/relationships" r:id="R3b0d2d940c7b40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80" hidden="0" customWidth="1"/>
  </x:cols>
  <x:sheetData>
    <x:row r="1">
      <x:c r="A1" s="120" t="str">
        <x:v>Signal ID</x:v>
      </x:c>
      <x:c r="B1" s="123" t="str">
        <x:v>Source ID</x:v>
      </x:c>
      <x:c r="C1" s="123" t="str">
        <x:v>Relationship</x:v>
      </x:c>
      <x:c r="D1" s="123" t="str">
        <x:v>Scope match</x:v>
      </x:c>
      <x:c r="E1" s="121" t="str">
        <x:v>Evidence note</x:v>
      </x:c>
    </x:row>
    <x:row r="2" ht="42" customHeight="1">
      <x:c r="A2" s="76" t="str">
        <x:v>S001</x:v>
      </x:c>
      <x:c r="B2" s="76" t="str">
        <x:v>SRC001</x:v>
      </x:c>
      <x:c r="C2" s="76" t="str">
        <x:v>SUPPORTS</x:v>
      </x:c>
      <x:c r="D2" s="76" t="str">
        <x:v>DIRECT</x:v>
      </x:c>
      <x:c r="E2" s="76" t="str">
        <x:v>Confirms model and Earth Engine release; not tourism performance.</x:v>
      </x:c>
    </x:row>
    <x:row r="3" ht="42" customHeight="1">
      <x:c r="A3" s="76" t="str">
        <x:v>S001</x:v>
      </x:c>
      <x:c r="B3" s="76" t="str">
        <x:v>SRC002</x:v>
      </x:c>
      <x:c r="C3" s="76" t="str">
        <x:v>SUPPORTS</x:v>
      </x:c>
      <x:c r="D3" s="76" t="str">
        <x:v>DIRECT</x:v>
      </x:c>
      <x:c r="E3" s="76" t="str">
        <x:v>Confirms annual coverage, format and access conditions.</x:v>
      </x:c>
    </x:row>
    <x:row r="4" ht="42" customHeight="1">
      <x:c r="A4" s="76" t="str">
        <x:v>S002</x:v>
      </x:c>
      <x:c r="B4" s="76" t="str">
        <x:v>SRC003</x:v>
      </x:c>
      <x:c r="C4" s="76" t="str">
        <x:v>SUPPORTS</x:v>
      </x:c>
      <x:c r="D4" s="76" t="str">
        <x:v>DIRECT</x:v>
      </x:c>
      <x:c r="E4" s="76" t="str">
        <x:v>Defines Article 50 scope and 2 August 2026 application.</x:v>
      </x:c>
    </x:row>
    <x:row r="5" ht="42" customHeight="1">
      <x:c r="A5" s="76" t="str">
        <x:v>S002</x:v>
      </x:c>
      <x:c r="B5" s="76" t="str">
        <x:v>SRC004</x:v>
      </x:c>
      <x:c r="C5" s="76" t="str">
        <x:v>SUPPORTS</x:v>
      </x:c>
      <x:c r="D5" s="76" t="str">
        <x:v>DIRECT</x:v>
      </x:c>
      <x:c r="E5" s="76" t="str">
        <x:v>Confirms enforcement start and disclosure examples.</x:v>
      </x:c>
    </x:row>
    <x:row r="6" ht="42" customHeight="1">
      <x:c r="A6" s="76" t="str">
        <x:v>S003</x:v>
      </x:c>
      <x:c r="B6" s="76" t="str">
        <x:v>SRC005</x:v>
      </x:c>
      <x:c r="C6" s="76" t="str">
        <x:v>SUPPORTS</x:v>
      </x:c>
      <x:c r="D6" s="76" t="str">
        <x:v>DIRECT</x:v>
      </x:c>
      <x:c r="E6" s="76" t="str">
        <x:v>Explains operational data-sharing framework.</x:v>
      </x:c>
    </x:row>
    <x:row r="7" ht="42" customHeight="1">
      <x:c r="A7" s="76" t="str">
        <x:v>S003</x:v>
      </x:c>
      <x:c r="B7" s="76" t="str">
        <x:v>SRC006</x:v>
      </x:c>
      <x:c r="C7" s="76" t="str">
        <x:v>SUPPORTS</x:v>
      </x:c>
      <x:c r="D7" s="76" t="str">
        <x:v>DIRECT</x:v>
      </x:c>
      <x:c r="E7" s="76" t="str">
        <x:v>Primary legal basis and conditions.</x:v>
      </x:c>
    </x:row>
    <x:row r="8" ht="42" customHeight="1">
      <x:c r="A8" s="76" t="str">
        <x:v>S004</x:v>
      </x:c>
      <x:c r="B8" s="76" t="str">
        <x:v>SRC007</x:v>
      </x:c>
      <x:c r="C8" s="76" t="str">
        <x:v>SUPPORTS</x:v>
      </x:c>
      <x:c r="D8" s="76" t="str">
        <x:v>DIRECT</x:v>
      </x:c>
      <x:c r="E8" s="76" t="str">
        <x:v>Establishes formal parity and data-access obligations.</x:v>
      </x:c>
    </x:row>
    <x:row r="9" ht="42" customHeight="1">
      <x:c r="A9" s="76" t="str">
        <x:v>S004</x:v>
      </x:c>
      <x:c r="B9" s="76" t="str">
        <x:v>SRC008</x:v>
      </x:c>
      <x:c r="C9" s="76" t="str">
        <x:v>SUPPORTS</x:v>
      </x:c>
      <x:c r="D9" s="76" t="str">
        <x:v>DIRECT</x:v>
      </x:c>
      <x:c r="E9" s="76" t="str">
        <x:v>Reports measures taken, but is self-reported.</x:v>
      </x:c>
    </x:row>
    <x:row r="10" ht="42" customHeight="1">
      <x:c r="A10" s="76" t="str">
        <x:v>S004</x:v>
      </x:c>
      <x:c r="B10" s="76" t="str">
        <x:v>SRC009</x:v>
      </x:c>
      <x:c r="C10" s="76" t="str">
        <x:v>CONTRADICTS</x:v>
      </x:c>
      <x:c r="D10" s="76" t="str">
        <x:v>INDIRECT</x:v>
      </x:c>
      <x:c r="E10" s="76" t="str">
        <x:v>Challenges an inference of complete realized benefit by raising equivalent-effect/circumvention concerns; draft status limits weight.</x:v>
      </x:c>
    </x:row>
    <x:row r="11" ht="42" customHeight="1">
      <x:c r="A11" s="76" t="str">
        <x:v>S005</x:v>
      </x:c>
      <x:c r="B11" s="76" t="str">
        <x:v>SRC010</x:v>
      </x:c>
      <x:c r="C11" s="76" t="str">
        <x:v>SUPPORTS</x:v>
      </x:c>
      <x:c r="D11" s="76" t="str">
        <x:v>DIRECT</x:v>
      </x:c>
      <x:c r="E11" s="76" t="str">
        <x:v>Official implementation and process guidance.</x:v>
      </x:c>
    </x:row>
    <x:row r="12" ht="42" customHeight="1">
      <x:c r="A12" s="76" t="str">
        <x:v>S006</x:v>
      </x:c>
      <x:c r="B12" s="76" t="str">
        <x:v>SRC011</x:v>
      </x:c>
      <x:c r="C12" s="76" t="str">
        <x:v>SUPPORTS</x:v>
      </x:c>
      <x:c r="D12" s="76" t="str">
        <x:v>DIRECT</x:v>
      </x:c>
      <x:c r="E12" s="76" t="str">
        <x:v>Confirms mandate and implementation.</x:v>
      </x:c>
    </x:row>
    <x:row r="13" ht="42" customHeight="1">
      <x:c r="A13" s="76" t="str">
        <x:v>S006</x:v>
      </x:c>
      <x:c r="B13" s="76" t="str">
        <x:v>SRC012</x:v>
      </x:c>
      <x:c r="C13" s="76" t="str">
        <x:v>CONTEXTUALIZES</x:v>
      </x:c>
      <x:c r="D13" s="76" t="str">
        <x:v>DIRECT</x:v>
      </x:c>
      <x:c r="E13" s="76" t="str">
        <x:v>Bounds readiness through supply concentration and immature eSAF.</x:v>
      </x:c>
    </x:row>
    <x:row r="14" ht="42" customHeight="1">
      <x:c r="A14" s="76" t="str">
        <x:v>S007</x:v>
      </x:c>
      <x:c r="B14" s="76" t="str">
        <x:v>SRC013</x:v>
      </x:c>
      <x:c r="C14" s="76" t="str">
        <x:v>SUPPORTS</x:v>
      </x:c>
      <x:c r="D14" s="76" t="str">
        <x:v>DIRECT</x:v>
      </x:c>
      <x:c r="E14" s="76" t="str">
        <x:v>Confirms service categories and application.</x:v>
      </x:c>
    </x:row>
    <x:row r="15" ht="42" customHeight="1">
      <x:c r="A15" s="76" t="str">
        <x:v>S008</x:v>
      </x:c>
      <x:c r="B15" s="76" t="str">
        <x:v>SRC014</x:v>
      </x:c>
      <x:c r="C15" s="76" t="str">
        <x:v>SUPPORTS</x:v>
      </x:c>
      <x:c r="D15" s="76" t="str">
        <x:v>DIRECT</x:v>
      </x:c>
      <x:c r="E15" s="76" t="str">
        <x:v>Establishes regulation and plan requirement.</x:v>
      </x:c>
    </x:row>
    <x:row r="16" ht="42" customHeight="1">
      <x:c r="A16" s="76" t="str">
        <x:v>S008</x:v>
      </x:c>
      <x:c r="B16" s="76" t="str">
        <x:v>SRC015</x:v>
      </x:c>
      <x:c r="C16" s="76" t="str">
        <x:v>SUPPORTS</x:v>
      </x:c>
      <x:c r="D16" s="76" t="str">
        <x:v>DIRECT</x:v>
      </x:c>
      <x:c r="E16" s="76" t="str">
        <x:v>Confirms format and 1 September 2026 deadline.</x:v>
      </x:c>
    </x:row>
    <x:row r="17" ht="42" customHeight="1">
      <x:c r="A17" s="76" t="str">
        <x:v>S009</x:v>
      </x:c>
      <x:c r="B17" s="76" t="str">
        <x:v>SRC016</x:v>
      </x:c>
      <x:c r="C17" s="76" t="str">
        <x:v>SUPPORTS</x:v>
      </x:c>
      <x:c r="D17" s="76" t="str">
        <x:v>DIRECT</x:v>
      </x:c>
      <x:c r="E17" s="76" t="str">
        <x:v>Establishes increasing heat-stress exposure.</x:v>
      </x:c>
    </x:row>
    <x:row r="18" ht="42" customHeight="1">
      <x:c r="A18" s="76" t="str">
        <x:v>S009</x:v>
      </x:c>
      <x:c r="B18" s="76" t="str">
        <x:v>SRC017</x:v>
      </x:c>
      <x:c r="C18" s="76" t="str">
        <x:v>SUPPORTS</x:v>
      </x:c>
      <x:c r="D18" s="76" t="str">
        <x:v>DIRECT</x:v>
      </x:c>
      <x:c r="E18" s="76" t="str">
        <x:v>Establishes southern-European tourism risk context.</x:v>
      </x:c>
    </x:row>
    <x:row r="19" ht="42" customHeight="1">
      <x:c r="A19" s="76" t="str">
        <x:v>S009</x:v>
      </x:c>
      <x:c r="B19" s="76" t="str">
        <x:v>SRC018</x:v>
      </x:c>
      <x:c r="C19" s="76" t="str">
        <x:v>CONTRADICTS</x:v>
      </x:c>
      <x:c r="D19" s="76" t="str">
        <x:v>INDIRECT</x:v>
      </x:c>
      <x:c r="E19" s="76" t="str">
        <x:v>Contradicts a broad inference that heat has already reduced aggregate EU nights; cannot resolve local substitution.</x:v>
      </x:c>
    </x:row>
    <x:row r="20" ht="42" customHeight="1">
      <x:c r="A20" s="76" t="str">
        <x:v>S010</x:v>
      </x:c>
      <x:c r="B20" s="76" t="str">
        <x:v>SRC019</x:v>
      </x:c>
      <x:c r="C20" s="76" t="str">
        <x:v>SUPPORTS</x:v>
      </x:c>
      <x:c r="D20" s="76" t="str">
        <x:v>DIRECT</x:v>
      </x:c>
      <x:c r="E20" s="76" t="str">
        <x:v>Establishes 2025 record and Natura 2000 exposure.</x:v>
      </x:c>
    </x:row>
    <x:row r="21" ht="42" customHeight="1">
      <x:c r="A21" s="76" t="str">
        <x:v>S010</x:v>
      </x:c>
      <x:c r="B21" s="76" t="str">
        <x:v>SRC020</x:v>
      </x:c>
      <x:c r="C21" s="76" t="str">
        <x:v>CONTRADICTS</x:v>
      </x:c>
      <x:c r="D21" s="76" t="str">
        <x:v>DIRECT</x:v>
      </x:c>
      <x:c r="E21" s="76" t="str">
        <x:v>Challenges a simple continued-record narrative: 2026 YTD is below 2025 though fire counts remain above average.</x:v>
      </x:c>
    </x:row>
    <x:row r="22" ht="42" customHeight="1">
      <x:c r="A22" s="76" t="str">
        <x:v>S011</x:v>
      </x:c>
      <x:c r="B22" s="76" t="str">
        <x:v>SRC021</x:v>
      </x:c>
      <x:c r="C22" s="76" t="str">
        <x:v>SUPPORTS</x:v>
      </x:c>
      <x:c r="D22" s="76" t="str">
        <x:v>DIRECT</x:v>
      </x:c>
      <x:c r="E22" s="76" t="str">
        <x:v>Establishes EU-wide 10% efficiency objective.</x:v>
      </x:c>
    </x:row>
    <x:row r="23" ht="42" customHeight="1">
      <x:c r="A23" s="76" t="str">
        <x:v>S011</x:v>
      </x:c>
      <x:c r="B23" s="76" t="str">
        <x:v>SRC022</x:v>
      </x:c>
      <x:c r="C23" s="76" t="str">
        <x:v>SUPPORTS</x:v>
      </x:c>
      <x:c r="D23" s="76" t="str">
        <x:v>DIRECT</x:v>
      </x:c>
      <x:c r="E23" s="76" t="str">
        <x:v>Provides tourism saving range and explicit uncertainty.</x:v>
      </x:c>
    </x:row>
    <x:row r="24" ht="42" customHeight="1">
      <x:c r="A24" s="76" t="str">
        <x:v>S011</x:v>
      </x:c>
      <x:c r="B24" s="76" t="str">
        <x:v>SRC031</x:v>
      </x:c>
      <x:c r="C24" s="76" t="str">
        <x:v>CONTEXTUALIZES</x:v>
      </x:c>
      <x:c r="D24" s="76" t="str">
        <x:v>DIRECT</x:v>
      </x:c>
      <x:c r="E24" s="76" t="str">
        <x:v>Places tourism pressure within seasonal southern-European scarcity.</x:v>
      </x:c>
    </x:row>
    <x:row r="25" ht="42" customHeight="1">
      <x:c r="A25" s="76" t="str">
        <x:v>S012</x:v>
      </x:c>
      <x:c r="B25" s="76" t="str">
        <x:v>SRC023</x:v>
      </x:c>
      <x:c r="C25" s="76" t="str">
        <x:v>SUPPORTS</x:v>
      </x:c>
      <x:c r="D25" s="76" t="str">
        <x:v>DIRECT</x:v>
      </x:c>
      <x:c r="E25" s="76" t="str">
        <x:v>Establishes platform nights and 11.4% growth.</x:v>
      </x:c>
    </x:row>
    <x:row r="26" ht="42" customHeight="1">
      <x:c r="A26" s="76" t="str">
        <x:v>S012</x:v>
      </x:c>
      <x:c r="B26" s="76" t="str">
        <x:v>SRC018</x:v>
      </x:c>
      <x:c r="C26" s="76" t="str">
        <x:v>SUPPORTS</x:v>
      </x:c>
      <x:c r="D26" s="76" t="str">
        <x:v>DIRECT</x:v>
      </x:c>
      <x:c r="E26" s="76" t="str">
        <x:v>Establishes total nights and 2.2% growth for comparison.</x:v>
      </x:c>
    </x:row>
    <x:row r="27" ht="42" customHeight="1">
      <x:c r="A27" s="76" t="str">
        <x:v>S013</x:v>
      </x:c>
      <x:c r="B27" s="76" t="str">
        <x:v>SRC024</x:v>
      </x:c>
      <x:c r="C27" s="76" t="str">
        <x:v>SUPPORTS</x:v>
      </x:c>
      <x:c r="D27" s="76" t="str">
        <x:v>DIRECT</x:v>
      </x:c>
      <x:c r="E27" s="76" t="str">
        <x:v>Establishes connected-product access/share rights.</x:v>
      </x:c>
    </x:row>
    <x:row r="28" ht="42" customHeight="1">
      <x:c r="A28" s="76" t="str">
        <x:v>S013</x:v>
      </x:c>
      <x:c r="B28" s="76" t="str">
        <x:v>SRC025</x:v>
      </x:c>
      <x:c r="C28" s="76" t="str">
        <x:v>CONTEXTUALIZES</x:v>
      </x:c>
      <x:c r="D28" s="76" t="str">
        <x:v>DIRECT</x:v>
      </x:c>
      <x:c r="E28" s="76" t="str">
        <x:v>Vehicle guidance states limits on extrapolation to other sectors/public bodies.</x:v>
      </x:c>
    </x:row>
    <x:row r="29" ht="42" customHeight="1">
      <x:c r="A29" s="76" t="str">
        <x:v>S014</x:v>
      </x:c>
      <x:c r="B29" s="76" t="str">
        <x:v>SRC026</x:v>
      </x:c>
      <x:c r="C29" s="76" t="str">
        <x:v>SUPPORTS</x:v>
      </x:c>
      <x:c r="D29" s="76" t="str">
        <x:v>DIRECT</x:v>
      </x:c>
      <x:c r="E29" s="76" t="str">
        <x:v>Documents capability plus privacy, access and methodology barriers.</x:v>
      </x:c>
    </x:row>
    <x:row r="30" ht="42" customHeight="1">
      <x:c r="A30" s="76" t="str">
        <x:v>S014</x:v>
      </x:c>
      <x:c r="B30" s="76" t="str">
        <x:v>SRC027</x:v>
      </x:c>
      <x:c r="C30" s="76" t="str">
        <x:v>SUPPORTS</x:v>
      </x:c>
      <x:c r="D30" s="76" t="str">
        <x:v>INDIRECT</x:v>
      </x:c>
      <x:c r="E30" s="76" t="str">
        <x:v>Documents current tourism applications, not their decision accuracy.</x:v>
      </x:c>
    </x:row>
    <x:row r="31" ht="42" customHeight="1">
      <x:c r="A31" s="76" t="str">
        <x:v>S014</x:v>
      </x:c>
      <x:c r="B31" s="76" t="str">
        <x:v>SRC028</x:v>
      </x:c>
      <x:c r="C31" s="76" t="str">
        <x:v>CONTRADICTS</x:v>
      </x:c>
      <x:c r="D31" s="76" t="str">
        <x:v>INDIRECT</x:v>
      </x:c>
      <x:c r="E31" s="76" t="str">
        <x:v>Challenges unqualified representativeness; preprint and GPS data are adjacent rather than identical to MNO data.</x:v>
      </x:c>
    </x:row>
    <x:row r="32" ht="42" customHeight="1">
      <x:c r="A32" s="76" t="str">
        <x:v>S015</x:v>
      </x:c>
      <x:c r="B32" s="76" t="str">
        <x:v>SRC029</x:v>
      </x:c>
      <x:c r="C32" s="76" t="str">
        <x:v>SUPPORTS</x:v>
      </x:c>
      <x:c r="D32" s="76" t="str">
        <x:v>DIRECT</x:v>
      </x:c>
      <x:c r="E32" s="76" t="str">
        <x:v>Establishes current named initiatives without production detail.</x:v>
      </x:c>
    </x:row>
    <x:row r="33" ht="42" customHeight="1">
      <x:c r="A33" s="76" t="str">
        <x:v>S015</x:v>
      </x:c>
      <x:c r="B33" s="76" t="str">
        <x:v>SRC030</x:v>
      </x:c>
      <x:c r="C33" s="76" t="str">
        <x:v>CONTEXTUALIZES</x:v>
      </x:c>
      <x:c r="D33" s="76" t="str">
        <x:v>DIRECT</x:v>
      </x:c>
      <x:c r="E33" s="76" t="str">
        <x:v>Policy intent is evidence of direction, not operational readiness.</x:v>
      </x:c>
    </x:row>
  </x:sheetData>
  <x:conditionalFormatting sqref="C2:C33">
    <x:cfRule type="containsText" dxfId="0" priority="1" operator="containsText" text="CONTRADICTS"/>
  </x:conditionalFormatting>
  <x:dataValidations count="2">
    <x:dataValidation type="list" sqref="C2:C100">
      <x:formula1>"SUPPORTS,CONTRADICTS,CONTEXTUALIZES"</x:formula1>
    </x:dataValidation>
    <x:dataValidation type="list" sqref="D2:D100">
      <x:formula1>"DIRECT,INDIRECT"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00b146c1c94d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52" hidden="0" customWidth="1"/>
    <x:col min="4" max="4" width="52" hidden="0" customWidth="1"/>
    <x:col min="5" max="5" width="44" hidden="0" customWidth="1"/>
    <x:col min="6" max="6" width="14" hidden="0" customWidth="1"/>
  </x:cols>
  <x:sheetData>
    <x:row r="1">
      <x:c r="A1" s="120" t="str">
        <x:v>Project ID</x:v>
      </x:c>
      <x:c r="B1" s="123" t="str">
        <x:v>Name</x:v>
      </x:c>
      <x:c r="C1" s="123" t="str">
        <x:v>Description</x:v>
      </x:c>
      <x:c r="D1" s="123" t="str">
        <x:v>Decision question</x:v>
      </x:c>
      <x:c r="E1" s="123" t="str">
        <x:v>Domains</x:v>
      </x:c>
      <x:c r="F1" s="121" t="str">
        <x:v>Status</x:v>
      </x:c>
    </x:row>
    <x:row r="2" ht="58" customHeight="1">
      <x:c r="A2" s="109" t="str">
        <x:v>P001</x:v>
      </x:c>
      <x:c r="B2" s="109" t="str">
        <x:v>TFM</x:v>
      </x:c>
      <x:c r="C2" s="109" t="str">
        <x:v>Research on tourism carrying capacity, visitor pressure and defensible threshold design.</x:v>
      </x:c>
      <x:c r="D2" s="109" t="str">
        <x:v>Which external changes should alter visitor or vehicle capacity assumptions?</x:v>
      </x:c>
      <x:c r="E2" s="109" t="str">
        <x:v>Visitor Management; Protected Areas; Climate; Tourism Data</x:v>
      </x:c>
      <x:c r="F2" s="109" t="str">
        <x:v>ACTIVE</x:v>
      </x:c>
    </x:row>
    <x:row r="3" ht="58" customHeight="1">
      <x:c r="A3" s="109" t="str">
        <x:v>P002</x:v>
      </x:c>
      <x:c r="B3" s="109" t="str">
        <x:v>SNTO</x:v>
      </x:c>
      <x:c r="C3" s="109" t="str">
        <x:v>Smart tourism observatory prototype for traceable destination intelligence.</x:v>
      </x:c>
      <x:c r="D3" s="109" t="str">
        <x:v>Which data or governance changes improve reliable destination monitoring?</x:v>
      </x:c>
      <x:c r="E3" s="109" t="str">
        <x:v>Tourism Data; AI; Remote Sensing; Governance</x:v>
      </x:c>
      <x:c r="F3" s="109" t="str">
        <x:v>ACTIVE</x:v>
      </x:c>
    </x:row>
    <x:row r="4" ht="58" customHeight="1">
      <x:c r="A4" s="109" t="str">
        <x:v>P003</x:v>
      </x:c>
      <x:c r="B4" s="109" t="str">
        <x:v>HATI</x:v>
      </x:c>
      <x:c r="C4" s="109" t="str">
        <x:v>Heat adaptation and tourism intelligence research context.</x:v>
      </x:c>
      <x:c r="D4" s="109" t="str">
        <x:v>When should heat, wildfire or water constraints alter tourism operations?</x:v>
      </x:c>
      <x:c r="E4" s="109" t="str">
        <x:v>Climate; Wildfire; Water; Protected Areas</x:v>
      </x:c>
      <x:c r="F4" s="109" t="str">
        <x:v>ACTIVE</x:v>
      </x:c>
    </x:row>
    <x:row r="5" ht="58" customHeight="1">
      <x:c r="A5" s="109" t="str">
        <x:v>P004</x:v>
      </x:c>
      <x:c r="B5" s="109" t="str">
        <x:v>LocalFlow</x:v>
      </x:c>
      <x:c r="C5" s="109" t="str">
        <x:v>Local tourism-business, accessibility and mobility decision context.</x:v>
      </x:c>
      <x:c r="D5" s="109" t="str">
        <x:v>Which platform, border or mobility changes affect local operators and visitor journeys?</x:v>
      </x:c>
      <x:c r="E5" s="109" t="str">
        <x:v>Tourism Technology; Mobility; Accessibility; Governance</x:v>
      </x:c>
      <x:c r="F5" s="109" t="str">
        <x:v>ACTIVE</x:v>
      </x:c>
    </x:row>
  </x:sheetData>
  <x:dataValidations count="1">
    <x:dataValidation type="list" sqref="F2:F1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3a4fd06d304d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62" hidden="0" customWidth="1"/>
    <x:col min="4" max="4" width="62" hidden="0" customWidth="1"/>
    <x:col min="5" max="5" width="18" hidden="0" customWidth="1"/>
    <x:col min="6" max="6" width="18" hidden="0" customWidth="1"/>
  </x:cols>
  <x:sheetData>
    <x:row r="1">
      <x:c r="A1" s="120" t="str">
        <x:v>Signal ID</x:v>
      </x:c>
      <x:c r="B1" s="123" t="str">
        <x:v>Project ID</x:v>
      </x:c>
      <x:c r="C1" s="123" t="str">
        <x:v>Relevance reason</x:v>
      </x:c>
      <x:c r="D1" s="123" t="str">
        <x:v>Possible implication</x:v>
      </x:c>
      <x:c r="E1" s="123" t="str">
        <x:v>Attention</x:v>
      </x:c>
      <x:c r="F1" s="121" t="str">
        <x:v>Confirmed by user?</x:v>
      </x:c>
    </x:row>
    <x:row r="2" ht="50" customHeight="1">
      <x:c r="A2" s="76" t="str">
        <x:v>S001</x:v>
      </x:c>
      <x:c r="B2" s="76" t="str">
        <x:v>P001</x:v>
      </x:c>
      <x:c r="C2" s="109" t="str">
        <x:v>May change remote-sensing inputs used in capacity monitoring.</x:v>
      </x:c>
      <x:c r="D2" s="109" t="str">
        <x:v>Requires parity testing before method change.</x:v>
      </x:c>
      <x:c r="E2" s="109" t="str">
        <x:v>HIGH</x:v>
      </x:c>
      <x:c r="F2" s="109" t="str">
        <x:v>NO</x:v>
      </x:c>
    </x:row>
    <x:row r="3" ht="50" customHeight="1">
      <x:c r="A3" s="76" t="str">
        <x:v>S001</x:v>
      </x:c>
      <x:c r="B3" s="76" t="str">
        <x:v>P002</x:v>
      </x:c>
      <x:c r="C3" s="109" t="str">
        <x:v>Adds a candidate destination-monitoring feature set.</x:v>
      </x:c>
      <x:c r="D3" s="109" t="str">
        <x:v>Could simplify multi-sensor inputs if validated.</x:v>
      </x:c>
      <x:c r="E3" s="109" t="str">
        <x:v>NORMAL</x:v>
      </x:c>
      <x:c r="F3" s="109" t="str">
        <x:v>NO</x:v>
      </x:c>
    </x:row>
    <x:row r="4" ht="50" customHeight="1">
      <x:c r="A4" s="76" t="str">
        <x:v>S002</x:v>
      </x:c>
      <x:c r="B4" s="76" t="str">
        <x:v>P002</x:v>
      </x:c>
      <x:c r="C4" s="109" t="str">
        <x:v>Affects how AI-generated intelligence is labeled and reviewed.</x:v>
      </x:c>
      <x:c r="D4" s="109" t="str">
        <x:v>Requires explicit provenance and human confirmation patterns.</x:v>
      </x:c>
      <x:c r="E4" s="109" t="str">
        <x:v>HIGH</x:v>
      </x:c>
      <x:c r="F4" s="109" t="str">
        <x:v>NO</x:v>
      </x:c>
    </x:row>
    <x:row r="5" ht="50" customHeight="1">
      <x:c r="A5" s="76" t="str">
        <x:v>S002</x:v>
      </x:c>
      <x:c r="B5" s="76" t="str">
        <x:v>P004</x:v>
      </x:c>
      <x:c r="C5" s="109" t="str">
        <x:v>Affects tourism-facing chatbot and content interactions.</x:v>
      </x:c>
      <x:c r="D5" s="109" t="str">
        <x:v>May require disclosures and machine-readable marking.</x:v>
      </x:c>
      <x:c r="E5" s="109" t="str">
        <x:v>HIGH</x:v>
      </x:c>
      <x:c r="F5" s="109" t="str">
        <x:v>NO</x:v>
      </x:c>
    </x:row>
    <x:row r="6" ht="50" customHeight="1">
      <x:c r="A6" s="76" t="str">
        <x:v>S003</x:v>
      </x:c>
      <x:c r="B6" s="76" t="str">
        <x:v>P001</x:v>
      </x:c>
      <x:c r="C6" s="109" t="str">
        <x:v>May provide more timely short-term-rental supply/usage inputs.</x:v>
      </x:c>
      <x:c r="D6" s="109" t="str">
        <x:v>Could change visitor-pressure denominator and spatial coverage.</x:v>
      </x:c>
      <x:c r="E6" s="109" t="str">
        <x:v>HIGH</x:v>
      </x:c>
      <x:c r="F6" s="109" t="str">
        <x:v>NO</x:v>
      </x:c>
    </x:row>
    <x:row r="7" ht="50" customHeight="1">
      <x:c r="A7" s="76" t="str">
        <x:v>S003</x:v>
      </x:c>
      <x:c r="B7" s="76" t="str">
        <x:v>P002</x:v>
      </x:c>
      <x:c r="C7" s="109" t="str">
        <x:v>Creates a public data channel for destination monitoring.</x:v>
      </x:c>
      <x:c r="D7" s="109" t="str">
        <x:v>Verify local implementation before data-model changes.</x:v>
      </x:c>
      <x:c r="E7" s="109" t="str">
        <x:v>HIGH</x:v>
      </x:c>
      <x:c r="F7" s="109" t="str">
        <x:v>NO</x:v>
      </x:c>
    </x:row>
    <x:row r="8" ht="50" customHeight="1">
      <x:c r="A8" s="76" t="str">
        <x:v>S004</x:v>
      </x:c>
      <x:c r="B8" s="76" t="str">
        <x:v>P004</x:v>
      </x:c>
      <x:c r="C8" s="109" t="str">
        <x:v>Changes formal pricing freedom and business-user data rights.</x:v>
      </x:c>
      <x:c r="D8" s="109" t="str">
        <x:v>Test actual direct-channel leverage before advice to businesses.</x:v>
      </x:c>
      <x:c r="E8" s="109" t="str">
        <x:v>HIGH</x:v>
      </x:c>
      <x:c r="F8" s="109" t="str">
        <x:v>NO</x:v>
      </x:c>
    </x:row>
    <x:row r="9" ht="50" customHeight="1">
      <x:c r="A9" s="76" t="str">
        <x:v>S005</x:v>
      </x:c>
      <x:c r="B9" s="76" t="str">
        <x:v>P004</x:v>
      </x:c>
      <x:c r="C9" s="109" t="str">
        <x:v>May alter international visitor arrival friction.</x:v>
      </x:c>
      <x:c r="D9" s="109" t="str">
        <x:v>Monitor gateway performance before changing journey assumptions.</x:v>
      </x:c>
      <x:c r="E9" s="109" t="str">
        <x:v>NORMAL</x:v>
      </x:c>
      <x:c r="F9" s="109" t="str">
        <x:v>NO</x:v>
      </x:c>
    </x:row>
    <x:row r="10" ht="50" customHeight="1">
      <x:c r="A10" s="76" t="str">
        <x:v>S005</x:v>
      </x:c>
      <x:c r="B10" s="76" t="str">
        <x:v>P002</x:v>
      </x:c>
      <x:c r="C10" s="109" t="str">
        <x:v>Could create a mobility change worth tracking.</x:v>
      </x:c>
      <x:c r="D10" s="109" t="str">
        <x:v>No destination-level effect established yet.</x:v>
      </x:c>
      <x:c r="E10" s="109" t="str">
        <x:v>NORMAL</x:v>
      </x:c>
      <x:c r="F10" s="109" t="str">
        <x:v>NO</x:v>
      </x:c>
    </x:row>
    <x:row r="11" ht="50" customHeight="1">
      <x:c r="A11" s="76" t="str">
        <x:v>S006</x:v>
      </x:c>
      <x:c r="B11" s="76" t="str">
        <x:v>P003</x:v>
      </x:c>
      <x:c r="C11" s="109" t="str">
        <x:v>Creates a policy floor for aviation decarbonisation scenarios.</x:v>
      </x:c>
      <x:c r="D11" s="109" t="str">
        <x:v>Do not infer local emissions or price changes without route data.</x:v>
      </x:c>
      <x:c r="E11" s="109" t="str">
        <x:v>NORMAL</x:v>
      </x:c>
      <x:c r="F11" s="109" t="str">
        <x:v>NO</x:v>
      </x:c>
    </x:row>
    <x:row r="12" ht="50" customHeight="1">
      <x:c r="A12" s="76" t="str">
        <x:v>S006</x:v>
      </x:c>
      <x:c r="B12" s="76" t="str">
        <x:v>P004</x:v>
      </x:c>
      <x:c r="C12" s="109" t="str">
        <x:v>May affect aviation cost and product claims later.</x:v>
      </x:c>
      <x:c r="D12" s="109" t="str">
        <x:v>Retain as context only.</x:v>
      </x:c>
      <x:c r="E12" s="109" t="str">
        <x:v>NORMAL</x:v>
      </x:c>
      <x:c r="F12" s="109" t="str">
        <x:v>NO</x:v>
      </x:c>
    </x:row>
    <x:row r="13" ht="50" customHeight="1">
      <x:c r="A13" s="76" t="str">
        <x:v>S007</x:v>
      </x:c>
      <x:c r="B13" s="76" t="str">
        <x:v>P004</x:v>
      </x:c>
      <x:c r="C13" s="109" t="str">
        <x:v>Directly affects digital booking and transport-information journeys.</x:v>
      </x:c>
      <x:c r="D13" s="109" t="str">
        <x:v>Audit and remediate accessibility blockers.</x:v>
      </x:c>
      <x:c r="E13" s="109" t="str">
        <x:v>HIGH</x:v>
      </x:c>
      <x:c r="F13" s="109" t="str">
        <x:v>NO</x:v>
      </x:c>
    </x:row>
    <x:row r="14" ht="50" customHeight="1">
      <x:c r="A14" s="76" t="str">
        <x:v>S007</x:v>
      </x:c>
      <x:c r="B14" s="76" t="str">
        <x:v>P002</x:v>
      </x:c>
      <x:c r="C14" s="109" t="str">
        <x:v>Affects observatory interface requirements.</x:v>
      </x:c>
      <x:c r="D14" s="109" t="str">
        <x:v>Accessibility must be acceptance criteria, not a later enhancement.</x:v>
      </x:c>
      <x:c r="E14" s="109" t="str">
        <x:v>HIGH</x:v>
      </x:c>
      <x:c r="F14" s="109" t="str">
        <x:v>NO</x:v>
      </x:c>
    </x:row>
    <x:row r="15" ht="50" customHeight="1">
      <x:c r="A15" s="76" t="str">
        <x:v>S008</x:v>
      </x:c>
      <x:c r="B15" s="76" t="str">
        <x:v>P001</x:v>
      </x:c>
      <x:c r="C15" s="109" t="str">
        <x:v>Restoration measures may affect protected-area access/capacity.</x:v>
      </x:c>
      <x:c r="D15" s="109" t="str">
        <x:v>Input window closes soon.</x:v>
      </x:c>
      <x:c r="E15" s="109" t="str">
        <x:v>HIGH</x:v>
      </x:c>
      <x:c r="F15" s="109" t="str">
        <x:v>NO</x:v>
      </x:c>
    </x:row>
    <x:row r="16" ht="50" customHeight="1">
      <x:c r="A16" s="76" t="str">
        <x:v>S008</x:v>
      </x:c>
      <x:c r="B16" s="76" t="str">
        <x:v>P003</x:v>
      </x:c>
      <x:c r="C16" s="109" t="str">
        <x:v>Restoration plans intersect biodiversity and climate adaptation.</x:v>
      </x:c>
      <x:c r="D16" s="109" t="str">
        <x:v>Map tourism implications before plan submission.</x:v>
      </x:c>
      <x:c r="E16" s="109" t="str">
        <x:v>HIGH</x:v>
      </x:c>
      <x:c r="F16" s="109" t="str">
        <x:v>NO</x:v>
      </x:c>
    </x:row>
    <x:row r="17" ht="50" customHeight="1">
      <x:c r="A17" s="76" t="str">
        <x:v>S009</x:v>
      </x:c>
      <x:c r="B17" s="76" t="str">
        <x:v>P001</x:v>
      </x:c>
      <x:c r="C17" s="109" t="str">
        <x:v>May change heat-sensitive visitor thresholds.</x:v>
      </x:c>
      <x:c r="D17" s="109" t="str">
        <x:v>Needs local response validation.</x:v>
      </x:c>
      <x:c r="E17" s="109" t="str">
        <x:v>HIGH</x:v>
      </x:c>
      <x:c r="F17" s="109" t="str">
        <x:v>NO</x:v>
      </x:c>
    </x:row>
    <x:row r="18" ht="50" customHeight="1">
      <x:c r="A18" s="76" t="str">
        <x:v>S009</x:v>
      </x:c>
      <x:c r="B18" s="76" t="str">
        <x:v>P003</x:v>
      </x:c>
      <x:c r="C18" s="109" t="str">
        <x:v>Central heat-exposure evidence for adaptation decisions.</x:v>
      </x:c>
      <x:c r="D18" s="109" t="str">
        <x:v>Separate hazard growth from observed visitor response.</x:v>
      </x:c>
      <x:c r="E18" s="109" t="str">
        <x:v>HIGH</x:v>
      </x:c>
      <x:c r="F18" s="109" t="str">
        <x:v>NO</x:v>
      </x:c>
    </x:row>
    <x:row r="19" ht="50" customHeight="1">
      <x:c r="A19" s="76" t="str">
        <x:v>S010</x:v>
      </x:c>
      <x:c r="B19" s="76" t="str">
        <x:v>P001</x:v>
      </x:c>
      <x:c r="C19" s="109" t="str">
        <x:v>Fire restrictions may become the binding capacity constraint.</x:v>
      </x:c>
      <x:c r="D19" s="109" t="str">
        <x:v>Test actual closure/threshold rules.</x:v>
      </x:c>
      <x:c r="E19" s="109" t="str">
        <x:v>HIGH</x:v>
      </x:c>
      <x:c r="F19" s="109" t="str">
        <x:v>NO</x:v>
      </x:c>
    </x:row>
    <x:row r="20" ht="50" customHeight="1">
      <x:c r="A20" s="76" t="str">
        <x:v>S010</x:v>
      </x:c>
      <x:c r="B20" s="76" t="str">
        <x:v>P003</x:v>
      </x:c>
      <x:c r="C20" s="109" t="str">
        <x:v>Wildfire exposure affects adaptation scenarios.</x:v>
      </x:c>
      <x:c r="D20" s="109" t="str">
        <x:v>Do not equate burnt area with visitor impact.</x:v>
      </x:c>
      <x:c r="E20" s="109" t="str">
        <x:v>HIGH</x:v>
      </x:c>
      <x:c r="F20" s="109" t="str">
        <x:v>NO</x:v>
      </x:c>
    </x:row>
    <x:row r="21" ht="50" customHeight="1">
      <x:c r="A21" s="76" t="str">
        <x:v>S011</x:v>
      </x:c>
      <x:c r="B21" s="76" t="str">
        <x:v>P003</x:v>
      </x:c>
      <x:c r="C21" s="109" t="str">
        <x:v>Water scarcity can constrain destination operations.</x:v>
      </x:c>
      <x:c r="D21" s="109" t="str">
        <x:v>Use measured baselines before capacity rules.</x:v>
      </x:c>
      <x:c r="E21" s="109" t="str">
        <x:v>NORMAL</x:v>
      </x:c>
      <x:c r="F21" s="109" t="str">
        <x:v>NO</x:v>
      </x:c>
    </x:row>
    <x:row r="22" ht="50" customHeight="1">
      <x:c r="A22" s="76" t="str">
        <x:v>S011</x:v>
      </x:c>
      <x:c r="B22" s="76" t="str">
        <x:v>P004</x:v>
      </x:c>
      <x:c r="C22" s="109" t="str">
        <x:v>Local tourism businesses may face efficiency requirements.</x:v>
      </x:c>
      <x:c r="D22" s="109" t="str">
        <x:v>One-site audit can bound feasible action.</x:v>
      </x:c>
      <x:c r="E22" s="109" t="str">
        <x:v>NORMAL</x:v>
      </x:c>
      <x:c r="F22" s="109" t="str">
        <x:v>NO</x:v>
      </x:c>
    </x:row>
    <x:row r="23" ht="50" customHeight="1">
      <x:c r="A23" s="76" t="str">
        <x:v>S012</x:v>
      </x:c>
      <x:c r="B23" s="76" t="str">
        <x:v>P001</x:v>
      </x:c>
      <x:c r="C23" s="109" t="str">
        <x:v>Platform growth may change local pressure concentration.</x:v>
      </x:c>
      <x:c r="D23" s="109" t="str">
        <x:v>Reconcile definitions and geography.</x:v>
      </x:c>
      <x:c r="E23" s="109" t="str">
        <x:v>HIGH</x:v>
      </x:c>
      <x:c r="F23" s="109" t="str">
        <x:v>NO</x:v>
      </x:c>
    </x:row>
    <x:row r="24" ht="50" customHeight="1">
      <x:c r="A24" s="76" t="str">
        <x:v>S012</x:v>
      </x:c>
      <x:c r="B24" s="76" t="str">
        <x:v>P002</x:v>
      </x:c>
      <x:c r="C24" s="109" t="str">
        <x:v>Shows need to monitor platform and establishment series separately.</x:v>
      </x:c>
      <x:c r="D24" s="109" t="str">
        <x:v>Avoid combining incompatible scopes.</x:v>
      </x:c>
      <x:c r="E24" s="109" t="str">
        <x:v>HIGH</x:v>
      </x:c>
      <x:c r="F24" s="109" t="str">
        <x:v>NO</x:v>
      </x:c>
    </x:row>
    <x:row r="25" ht="50" customHeight="1">
      <x:c r="A25" s="76" t="str">
        <x:v>S013</x:v>
      </x:c>
      <x:c r="B25" s="76" t="str">
        <x:v>P004</x:v>
      </x:c>
      <x:c r="C25" s="109" t="str">
        <x:v>Connected-vehicle rights may enable mobility services.</x:v>
      </x:c>
      <x:c r="D25" s="109" t="str">
        <x:v>Verify user/data-holder roles first.</x:v>
      </x:c>
      <x:c r="E25" s="109" t="str">
        <x:v>NORMAL</x:v>
      </x:c>
      <x:c r="F25" s="109" t="str">
        <x:v>NO</x:v>
      </x:c>
    </x:row>
    <x:row r="26" ht="50" customHeight="1">
      <x:c r="A26" s="76" t="str">
        <x:v>S013</x:v>
      </x:c>
      <x:c r="B26" s="76" t="str">
        <x:v>P002</x:v>
      </x:c>
      <x:c r="C26" s="109" t="str">
        <x:v>Potential new source for destination mobility indicators.</x:v>
      </x:c>
      <x:c r="D26" s="109" t="str">
        <x:v>No automatic public-sector access.</x:v>
      </x:c>
      <x:c r="E26" s="109" t="str">
        <x:v>NORMAL</x:v>
      </x:c>
      <x:c r="F26" s="109" t="str">
        <x:v>NO</x:v>
      </x:c>
    </x:row>
    <x:row r="27" ht="50" customHeight="1">
      <x:c r="A27" s="76" t="str">
        <x:v>S014</x:v>
      </x:c>
      <x:c r="B27" s="76" t="str">
        <x:v>P001</x:v>
      </x:c>
      <x:c r="C27" s="109" t="str">
        <x:v>Could provide timely visitor-pressure input.</x:v>
      </x:c>
      <x:c r="D27" s="109" t="str">
        <x:v>Bias validation is required before thresholds.</x:v>
      </x:c>
      <x:c r="E27" s="109" t="str">
        <x:v>HIGH</x:v>
      </x:c>
      <x:c r="F27" s="109" t="str">
        <x:v>NO</x:v>
      </x:c>
    </x:row>
    <x:row r="28" ht="50" customHeight="1">
      <x:c r="A28" s="76" t="str">
        <x:v>S014</x:v>
      </x:c>
      <x:c r="B28" s="76" t="str">
        <x:v>P002</x:v>
      </x:c>
      <x:c r="C28" s="109" t="str">
        <x:v>Material candidate data source for observatory monitoring.</x:v>
      </x:c>
      <x:c r="D28" s="109" t="str">
        <x:v>Benchmark against ground truth and document missing populations.</x:v>
      </x:c>
      <x:c r="E28" s="109" t="str">
        <x:v>HIGH</x:v>
      </x:c>
      <x:c r="F28" s="109" t="str">
        <x:v>NO</x:v>
      </x:c>
    </x:row>
    <x:row r="29" ht="50" customHeight="1">
      <x:c r="A29" s="76" t="str">
        <x:v>S015</x:v>
      </x:c>
      <x:c r="B29" s="76" t="str">
        <x:v>P002</x:v>
      </x:c>
      <x:c r="C29" s="109" t="str">
        <x:v>Possible future interoperability and data-source layer.</x:v>
      </x:c>
      <x:c r="D29" s="109" t="str">
        <x:v>Do not create a dependency until assets and governance are inspectable.</x:v>
      </x:c>
      <x:c r="E29" s="109" t="str">
        <x:v>NORMAL</x:v>
      </x:c>
      <x:c r="F29" s="109" t="str">
        <x:v>NO</x:v>
      </x:c>
    </x:row>
  </x:sheetData>
  <x:dataValidations count="2">
    <x:dataValidation type="list" sqref="E2:E100">
      <x:formula1>"HIGH,NORMAL"</x:formula1>
    </x:dataValidation>
    <x:dataValidation type="list" sqref="F2:F1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52dd2fa0d04f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56" hidden="0" customWidth="1"/>
    <x:col min="9" max="9" width="22" hidden="0" customWidth="1"/>
    <x:col min="10" max="10" width="66" hidden="0" customWidth="1"/>
    <x:col min="11" max="11" width="26" hidden="0" customWidth="1"/>
  </x:cols>
  <x:sheetData>
    <x:row r="1">
      <x:c r="A1" s="120" t="str">
        <x:v>Date</x:v>
      </x:c>
      <x:c r="B1" s="123" t="str">
        <x:v>Day</x:v>
      </x:c>
      <x:c r="C1" s="123" t="str">
        <x:v>Opened?</x:v>
      </x:c>
      <x:c r="D1" s="123" t="str">
        <x:v>Voluntary?</x:v>
      </x:c>
      <x:c r="E1" s="123" t="str">
        <x:v>Session minutes</x:v>
      </x:c>
      <x:c r="F1" s="123" t="str">
        <x:v>Signals reviewed</x:v>
      </x:c>
      <x:c r="G1" s="123" t="str">
        <x:v>Decision changed/confirmed?</x:v>
      </x:c>
      <x:c r="H1" s="123" t="str">
        <x:v>Decision note</x:v>
      </x:c>
      <x:c r="I1" s="123" t="str">
        <x:v>Traceability check seconds</x:v>
      </x:c>
      <x:c r="J1" s="123" t="str">
        <x:v>Session notes</x:v>
      </x:c>
      <x:c r="K1" s="121" t="str">
        <x:v>Signal/Source distinction useful?</x:v>
      </x:c>
    </x:row>
    <x:row r="2" ht="56" customHeight="1">
      <x:c r="A2" s="107" t="n">
        <x:v>46258</x:v>
      </x:c>
      <x:c r="B2" s="76" t="n">
        <x:v>1</x:v>
      </x:c>
      <x:c r="C2" s="109"/>
      <x:c r="D2" s="109"/>
      <x:c r="E2" s="109"/>
      <x:c r="F2" s="109"/>
      <x:c r="G2" s="109"/>
      <x:c r="H2" s="109"/>
      <x:c r="I2" s="109"/>
      <x:c r="J2" s="76" t="str"/>
      <x:c r="K2" s="109"/>
    </x:row>
    <x:row r="3" ht="56" customHeight="1">
      <x:c r="A3" s="107" t="n">
        <x:v>46259</x:v>
      </x:c>
      <x:c r="B3" s="76" t="n">
        <x:v>2</x:v>
      </x:c>
      <x:c r="C3" s="109"/>
      <x:c r="D3" s="109"/>
      <x:c r="E3" s="109"/>
      <x:c r="F3" s="109"/>
      <x:c r="G3" s="109"/>
      <x:c r="H3" s="109"/>
      <x:c r="I3" s="109"/>
      <x:c r="J3" s="76" t="str"/>
      <x:c r="K3" s="109"/>
    </x:row>
    <x:row r="4" ht="56" customHeight="1">
      <x:c r="A4" s="107" t="n">
        <x:v>46260</x:v>
      </x:c>
      <x:c r="B4" s="76" t="n">
        <x:v>3</x:v>
      </x:c>
      <x:c r="C4" s="109"/>
      <x:c r="D4" s="109"/>
      <x:c r="E4" s="109"/>
      <x:c r="F4" s="109"/>
      <x:c r="G4" s="109"/>
      <x:c r="H4" s="109"/>
      <x:c r="I4" s="109"/>
      <x:c r="J4" s="76" t="str"/>
      <x:c r="K4" s="109"/>
    </x:row>
    <x:row r="5" ht="56" customHeight="1">
      <x:c r="A5" s="107" t="n">
        <x:v>46261</x:v>
      </x:c>
      <x:c r="B5" s="76" t="n">
        <x:v>4</x:v>
      </x:c>
      <x:c r="C5" s="109"/>
      <x:c r="D5" s="109"/>
      <x:c r="E5" s="109"/>
      <x:c r="F5" s="109"/>
      <x:c r="G5" s="109"/>
      <x:c r="H5" s="109"/>
      <x:c r="I5" s="109"/>
      <x:c r="J5" s="76" t="str"/>
      <x:c r="K5" s="109"/>
    </x:row>
    <x:row r="6" ht="56" customHeight="1">
      <x:c r="A6" s="107" t="n">
        <x:v>46262</x:v>
      </x:c>
      <x:c r="B6" s="76" t="n">
        <x:v>5</x:v>
      </x:c>
      <x:c r="C6" s="109"/>
      <x:c r="D6" s="109"/>
      <x:c r="E6" s="109"/>
      <x:c r="F6" s="109"/>
      <x:c r="G6" s="109"/>
      <x:c r="H6" s="109"/>
      <x:c r="I6" s="109"/>
      <x:c r="J6" s="76" t="str">
        <x:v>Day 5: define Evidence, Priority, Disposition, Status and THE MOVE without prompts.</x:v>
      </x:c>
      <x:c r="K6" s="109"/>
    </x:row>
    <x:row r="7" ht="56" customHeight="1">
      <x:c r="A7" s="107" t="n">
        <x:v>46265</x:v>
      </x:c>
      <x:c r="B7" s="76" t="n">
        <x:v>6</x:v>
      </x:c>
      <x:c r="C7" s="109"/>
      <x:c r="D7" s="109"/>
      <x:c r="E7" s="109"/>
      <x:c r="F7" s="109"/>
      <x:c r="G7" s="109"/>
      <x:c r="H7" s="109"/>
      <x:c r="I7" s="109"/>
      <x:c r="J7" s="76" t="str"/>
      <x:c r="K7" s="109"/>
    </x:row>
    <x:row r="8" ht="56" customHeight="1">
      <x:c r="A8" s="107" t="n">
        <x:v>46266</x:v>
      </x:c>
      <x:c r="B8" s="76" t="n">
        <x:v>7</x:v>
      </x:c>
      <x:c r="C8" s="109"/>
      <x:c r="D8" s="109"/>
      <x:c r="E8" s="109"/>
      <x:c r="F8" s="109"/>
      <x:c r="G8" s="109"/>
      <x:c r="H8" s="109"/>
      <x:c r="I8" s="109"/>
      <x:c r="J8" s="76" t="str"/>
      <x:c r="K8" s="109"/>
    </x:row>
    <x:row r="9" ht="56" customHeight="1">
      <x:c r="A9" s="107" t="n">
        <x:v>46267</x:v>
      </x:c>
      <x:c r="B9" s="76" t="n">
        <x:v>8</x:v>
      </x:c>
      <x:c r="C9" s="109"/>
      <x:c r="D9" s="109"/>
      <x:c r="E9" s="109"/>
      <x:c r="F9" s="109"/>
      <x:c r="G9" s="109"/>
      <x:c r="H9" s="109"/>
      <x:c r="I9" s="109"/>
      <x:c r="J9" s="76" t="str"/>
      <x:c r="K9" s="109"/>
    </x:row>
    <x:row r="10" ht="56" customHeight="1">
      <x:c r="A10" s="107" t="n">
        <x:v>46268</x:v>
      </x:c>
      <x:c r="B10" s="76" t="n">
        <x:v>9</x:v>
      </x:c>
      <x:c r="C10" s="109"/>
      <x:c r="D10" s="109"/>
      <x:c r="E10" s="109"/>
      <x:c r="F10" s="109"/>
      <x:c r="G10" s="109"/>
      <x:c r="H10" s="109"/>
      <x:c r="I10" s="109"/>
      <x:c r="J10" s="76" t="str"/>
      <x:c r="K10" s="109"/>
    </x:row>
    <x:row r="11" ht="56" customHeight="1">
      <x:c r="A11" s="107" t="n">
        <x:v>46269</x:v>
      </x:c>
      <x:c r="B11" s="76" t="n">
        <x:v>10</x:v>
      </x:c>
      <x:c r="C11" s="109"/>
      <x:c r="D11" s="109"/>
      <x:c r="E11" s="109"/>
      <x:c r="F11" s="109"/>
      <x:c r="G11" s="109"/>
      <x:c r="H11" s="109"/>
      <x:c r="I11" s="109"/>
      <x:c r="J11" s="76" t="str">
        <x:v>Day 10: compare against current alerts/notes and give final Signal/Source response.</x:v>
      </x:c>
      <x:c r="K11" s="109"/>
    </x:row>
  </x:sheetData>
  <x:dataValidations count="3">
    <x:dataValidation type="list" sqref="C2:D11">
      <x:formula1>"YES,NO"</x:formula1>
    </x:dataValidation>
    <x:dataValidation type="list" sqref="G2:G11">
      <x:formula1>"YES,NO"</x:formula1>
    </x:dataValidation>
    <x:dataValidation type="list" sqref="K2:K1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f2729edbee43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26" hidden="0" customWidth="1"/>
    <x:col min="6" max="6" width="26" hidden="0" customWidth="1"/>
    <x:col min="7" max="7" width="46" hidden="0" customWidth="1"/>
    <x:col min="8" max="8" width="18" hidden="0" customWidth="1"/>
    <x:col min="9" max="9" width="56" hidden="0" customWidth="1"/>
    <x:col min="10" max="10" width="22" hidden="0" customWidth="1"/>
  </x:cols>
  <x:sheetData>
    <x:row r="1">
      <x:c r="A1" s="120" t="str">
        <x:v>Planned date</x:v>
      </x:c>
      <x:c r="B1" s="123" t="str">
        <x:v>Signal ID</x:v>
      </x:c>
      <x:c r="C1" s="123" t="str">
        <x:v>Source capture min</x:v>
      </x:c>
      <x:c r="D1" s="123" t="str">
        <x:v>Signal review min</x:v>
      </x:c>
      <x:c r="E1" s="123" t="str">
        <x:v>Evidence rationale explained correctly?</x:v>
      </x:c>
      <x:c r="F1" s="123" t="str">
        <x:v>Priority useful?</x:v>
      </x:c>
      <x:c r="G1" s="123" t="str">
        <x:v>Field friction / ignored fields</x:v>
      </x:c>
      <x:c r="H1" s="123" t="str">
        <x:v>Move handling</x:v>
      </x:c>
      <x:c r="I1" s="123" t="str">
        <x:v>Notes / observed confusion</x:v>
      </x:c>
      <x:c r="J1" s="121" t="str">
        <x:v>Week-2 review min (formula)</x:v>
      </x:c>
    </x:row>
    <x:row r="2" ht="46" customHeight="1">
      <x:c r="A2" s="107" t="n">
        <x:v>46258</x:v>
      </x:c>
      <x:c r="B2" s="76" t="str">
        <x:v>S008</x:v>
      </x:c>
      <x:c r="C2" s="109"/>
      <x:c r="D2" s="109"/>
      <x:c r="E2" s="109"/>
      <x:c r="F2" s="109"/>
      <x:c r="G2" s="109"/>
      <x:c r="H2" s="109"/>
      <x:c r="I2" s="109"/>
      <x:c r="J2" s="76" t="str">
        <x:f>IF(AND(A2&gt;=DATE(2026,8,31),D2&lt;&gt;""),D2,"")</x:f>
      </x:c>
    </x:row>
    <x:row r="3" ht="46" customHeight="1">
      <x:c r="A3" s="107" t="n">
        <x:v>46258</x:v>
      </x:c>
      <x:c r="B3" s="76" t="str">
        <x:v>S002</x:v>
      </x:c>
      <x:c r="C3" s="109"/>
      <x:c r="D3" s="109"/>
      <x:c r="E3" s="109"/>
      <x:c r="F3" s="109"/>
      <x:c r="G3" s="109"/>
      <x:c r="H3" s="109"/>
      <x:c r="I3" s="109"/>
      <x:c r="J3" s="76" t="str">
        <x:f>IF(AND(A3&gt;=DATE(2026,8,31),D3&lt;&gt;""),D3,"")</x:f>
      </x:c>
    </x:row>
    <x:row r="4" ht="46" customHeight="1">
      <x:c r="A4" s="107" t="n">
        <x:v>46259</x:v>
      </x:c>
      <x:c r="B4" s="76" t="str">
        <x:v>S010</x:v>
      </x:c>
      <x:c r="C4" s="109"/>
      <x:c r="D4" s="109"/>
      <x:c r="E4" s="109"/>
      <x:c r="F4" s="109"/>
      <x:c r="G4" s="109"/>
      <x:c r="H4" s="109"/>
      <x:c r="I4" s="109"/>
      <x:c r="J4" s="76" t="str">
        <x:f>IF(AND(A4&gt;=DATE(2026,8,31),D4&lt;&gt;""),D4,"")</x:f>
      </x:c>
    </x:row>
    <x:row r="5" ht="46" customHeight="1">
      <x:c r="A5" s="107" t="n">
        <x:v>46259</x:v>
      </x:c>
      <x:c r="B5" s="76" t="str">
        <x:v>S009</x:v>
      </x:c>
      <x:c r="C5" s="109"/>
      <x:c r="D5" s="109"/>
      <x:c r="E5" s="109"/>
      <x:c r="F5" s="109"/>
      <x:c r="G5" s="109"/>
      <x:c r="H5" s="109"/>
      <x:c r="I5" s="109"/>
      <x:c r="J5" s="76" t="str">
        <x:f>IF(AND(A5&gt;=DATE(2026,8,31),D5&lt;&gt;""),D5,"")</x:f>
      </x:c>
    </x:row>
    <x:row r="6" ht="46" customHeight="1">
      <x:c r="A6" s="107" t="n">
        <x:v>46260</x:v>
      </x:c>
      <x:c r="B6" s="76" t="str">
        <x:v>S003</x:v>
      </x:c>
      <x:c r="C6" s="109"/>
      <x:c r="D6" s="109"/>
      <x:c r="E6" s="109"/>
      <x:c r="F6" s="109"/>
      <x:c r="G6" s="109"/>
      <x:c r="H6" s="109"/>
      <x:c r="I6" s="109"/>
      <x:c r="J6" s="76" t="str">
        <x:f>IF(AND(A6&gt;=DATE(2026,8,31),D6&lt;&gt;""),D6,"")</x:f>
      </x:c>
    </x:row>
    <x:row r="7" ht="46" customHeight="1">
      <x:c r="A7" s="107" t="n">
        <x:v>46260</x:v>
      </x:c>
      <x:c r="B7" s="76" t="str">
        <x:v>S007</x:v>
      </x:c>
      <x:c r="C7" s="109"/>
      <x:c r="D7" s="109"/>
      <x:c r="E7" s="109"/>
      <x:c r="F7" s="109"/>
      <x:c r="G7" s="109"/>
      <x:c r="H7" s="109"/>
      <x:c r="I7" s="109"/>
      <x:c r="J7" s="76" t="str">
        <x:f>IF(AND(A7&gt;=DATE(2026,8,31),D7&lt;&gt;""),D7,"")</x:f>
      </x:c>
    </x:row>
    <x:row r="8" ht="46" customHeight="1">
      <x:c r="A8" s="107" t="n">
        <x:v>46261</x:v>
      </x:c>
      <x:c r="B8" s="76" t="str">
        <x:v>S004</x:v>
      </x:c>
      <x:c r="C8" s="109"/>
      <x:c r="D8" s="109"/>
      <x:c r="E8" s="109"/>
      <x:c r="F8" s="109"/>
      <x:c r="G8" s="109"/>
      <x:c r="H8" s="109"/>
      <x:c r="I8" s="109"/>
      <x:c r="J8" s="76" t="str">
        <x:f>IF(AND(A8&gt;=DATE(2026,8,31),D8&lt;&gt;""),D8,"")</x:f>
      </x:c>
    </x:row>
    <x:row r="9" ht="46" customHeight="1">
      <x:c r="A9" s="107" t="n">
        <x:v>46261</x:v>
      </x:c>
      <x:c r="B9" s="76" t="str">
        <x:v>S012</x:v>
      </x:c>
      <x:c r="C9" s="109"/>
      <x:c r="D9" s="109"/>
      <x:c r="E9" s="109"/>
      <x:c r="F9" s="109"/>
      <x:c r="G9" s="109"/>
      <x:c r="H9" s="109"/>
      <x:c r="I9" s="109"/>
      <x:c r="J9" s="76" t="str">
        <x:f>IF(AND(A9&gt;=DATE(2026,8,31),D9&lt;&gt;""),D9,"")</x:f>
      </x:c>
    </x:row>
    <x:row r="10" ht="46" customHeight="1">
      <x:c r="A10" s="107" t="n">
        <x:v>46262</x:v>
      </x:c>
      <x:c r="B10" s="76" t="str">
        <x:v>S014</x:v>
      </x:c>
      <x:c r="C10" s="109"/>
      <x:c r="D10" s="109"/>
      <x:c r="E10" s="109"/>
      <x:c r="F10" s="109"/>
      <x:c r="G10" s="109"/>
      <x:c r="H10" s="109"/>
      <x:c r="I10" s="109"/>
      <x:c r="J10" s="76" t="str">
        <x:f>IF(AND(A10&gt;=DATE(2026,8,31),D10&lt;&gt;""),D10,"")</x:f>
      </x:c>
    </x:row>
    <x:row r="11" ht="46" customHeight="1">
      <x:c r="A11" s="107" t="n">
        <x:v>46262</x:v>
      </x:c>
      <x:c r="B11" s="76" t="str">
        <x:v>S001</x:v>
      </x:c>
      <x:c r="C11" s="109"/>
      <x:c r="D11" s="109"/>
      <x:c r="E11" s="109"/>
      <x:c r="F11" s="109"/>
      <x:c r="G11" s="109"/>
      <x:c r="H11" s="109"/>
      <x:c r="I11" s="109"/>
      <x:c r="J11" s="76" t="str">
        <x:f>IF(AND(A11&gt;=DATE(2026,8,31),D11&lt;&gt;""),D11,"")</x:f>
      </x:c>
    </x:row>
    <x:row r="12" ht="46" customHeight="1">
      <x:c r="A12" s="107" t="n">
        <x:v>46265</x:v>
      </x:c>
      <x:c r="B12" s="76" t="str">
        <x:v>S005</x:v>
      </x:c>
      <x:c r="C12" s="109"/>
      <x:c r="D12" s="109"/>
      <x:c r="E12" s="109"/>
      <x:c r="F12" s="109"/>
      <x:c r="G12" s="109"/>
      <x:c r="H12" s="109"/>
      <x:c r="I12" s="109"/>
      <x:c r="J12" s="76" t="str">
        <x:f>IF(AND(A12&gt;=DATE(2026,8,31),D12&lt;&gt;""),D12,"")</x:f>
      </x:c>
    </x:row>
    <x:row r="13" ht="46" customHeight="1">
      <x:c r="A13" s="107" t="n">
        <x:v>46266</x:v>
      </x:c>
      <x:c r="B13" s="76" t="str">
        <x:v>S011</x:v>
      </x:c>
      <x:c r="C13" s="109"/>
      <x:c r="D13" s="109"/>
      <x:c r="E13" s="109"/>
      <x:c r="F13" s="109"/>
      <x:c r="G13" s="109"/>
      <x:c r="H13" s="109"/>
      <x:c r="I13" s="109"/>
      <x:c r="J13" s="76" t="str">
        <x:f>IF(AND(A13&gt;=DATE(2026,8,31),D13&lt;&gt;""),D13,"")</x:f>
      </x:c>
    </x:row>
    <x:row r="14" ht="46" customHeight="1">
      <x:c r="A14" s="107" t="n">
        <x:v>46267</x:v>
      </x:c>
      <x:c r="B14" s="76" t="str">
        <x:v>S013</x:v>
      </x:c>
      <x:c r="C14" s="109"/>
      <x:c r="D14" s="109"/>
      <x:c r="E14" s="109"/>
      <x:c r="F14" s="109"/>
      <x:c r="G14" s="109"/>
      <x:c r="H14" s="109"/>
      <x:c r="I14" s="109"/>
      <x:c r="J14" s="76" t="str">
        <x:f>IF(AND(A14&gt;=DATE(2026,8,31),D14&lt;&gt;""),D14,"")</x:f>
      </x:c>
    </x:row>
    <x:row r="15" ht="46" customHeight="1">
      <x:c r="A15" s="107" t="n">
        <x:v>46268</x:v>
      </x:c>
      <x:c r="B15" s="76" t="str">
        <x:v>S006</x:v>
      </x:c>
      <x:c r="C15" s="109"/>
      <x:c r="D15" s="109"/>
      <x:c r="E15" s="109"/>
      <x:c r="F15" s="109"/>
      <x:c r="G15" s="109"/>
      <x:c r="H15" s="109"/>
      <x:c r="I15" s="109"/>
      <x:c r="J15" s="76" t="str">
        <x:f>IF(AND(A15&gt;=DATE(2026,8,31),D15&lt;&gt;""),D15,"")</x:f>
      </x:c>
    </x:row>
    <x:row r="16" ht="46" customHeight="1">
      <x:c r="A16" s="107" t="n">
        <x:v>46269</x:v>
      </x:c>
      <x:c r="B16" s="76" t="str">
        <x:v>S015</x:v>
      </x:c>
      <x:c r="C16" s="109"/>
      <x:c r="D16" s="109"/>
      <x:c r="E16" s="109"/>
      <x:c r="F16" s="109"/>
      <x:c r="G16" s="109"/>
      <x:c r="H16" s="109"/>
      <x:c r="I16" s="109"/>
      <x:c r="J16" s="76" t="str">
        <x:f>IF(AND(A16&gt;=DATE(2026,8,31),D16&lt;&gt;""),D16,"")</x:f>
      </x:c>
    </x:row>
  </x:sheetData>
  <x:dataValidations count="2">
    <x:dataValidation type="list" sqref="E2:F100">
      <x:formula1>"YES,NO"</x:formula1>
    </x:dataValidation>
    <x:dataValidation type="list" sqref="H2:H100">
      <x:formula1>"EXECUTED,SCHEDULED,EDITED,REJECTED,FORGOTTEN,NO MOVE"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72798a18d74d3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62" hidden="0" customWidth="1"/>
  </x:cols>
  <x:sheetData>
    <x:row r="1">
      <x:c r="A1" s="120" t="str">
        <x:v>Required field</x:v>
      </x:c>
      <x:c r="B1" s="123" t="str">
        <x:v>Times exposed</x:v>
      </x:c>
      <x:c r="C1" s="123" t="str">
        <x:v>Times skipped</x:v>
      </x:c>
      <x:c r="D1" s="123" t="str">
        <x:v>Times judged redundant</x:v>
      </x:c>
      <x:c r="E1" s="123" t="str">
        <x:v>Worst friction rate</x:v>
      </x:c>
      <x:c r="F1" s="123" t="str">
        <x:v>Threshold status</x:v>
      </x:c>
      <x:c r="G1" s="121" t="str">
        <x:v>Notes</x:v>
      </x:c>
    </x:row>
    <x:row r="2" ht="42" customHeight="1">
      <x:c r="A2" s="76" t="str">
        <x:v>Claim / what changed</x:v>
      </x:c>
      <x:c r="B2" s="109"/>
      <x:c r="C2" s="109"/>
      <x:c r="D2" s="109"/>
      <x:c r="E2" s="91" t="str">
        <x:f>IF(B2=0,"",MAX(C2,D2)/B2)</x:f>
      </x:c>
      <x:c r="F2" s="76" t="str">
        <x:f>IF(E2="","PENDING",IF(E2&lt;=40%,"PASS","FAIL"))</x:f>
        <x:v>PENDING</x:v>
      </x:c>
      <x:c r="G2" s="109"/>
    </x:row>
    <x:row r="3" ht="42" customHeight="1">
      <x:c r="A3" s="76" t="str">
        <x:v>Why it matters</x:v>
      </x:c>
      <x:c r="B3" s="109"/>
      <x:c r="C3" s="109"/>
      <x:c r="D3" s="109"/>
      <x:c r="E3" s="91" t="str">
        <x:f>IF(B3=0,"",MAX(C3,D3)/B3)</x:f>
      </x:c>
      <x:c r="F3" s="76" t="str">
        <x:f>IF(E3="","PENDING",IF(E3&lt;=40%,"PASS","FAIL"))</x:f>
        <x:v>PENDING</x:v>
      </x:c>
      <x:c r="G3" s="109"/>
    </x:row>
    <x:row r="4" ht="42" customHeight="1">
      <x:c r="A4" s="76" t="str">
        <x:v>Evidence quality + rationale</x:v>
      </x:c>
      <x:c r="B4" s="109"/>
      <x:c r="C4" s="109"/>
      <x:c r="D4" s="109"/>
      <x:c r="E4" s="91" t="str">
        <x:f>IF(B4=0,"",MAX(C4,D4)/B4)</x:f>
      </x:c>
      <x:c r="F4" s="76" t="str">
        <x:f>IF(E4="","PENDING",IF(E4&lt;=40%,"PASS","FAIL"))</x:f>
        <x:v>PENDING</x:v>
      </x:c>
      <x:c r="G4" s="109"/>
    </x:row>
    <x:row r="5" ht="42" customHeight="1">
      <x:c r="A5" s="76" t="str">
        <x:v>Project relevance reason</x:v>
      </x:c>
      <x:c r="B5" s="109"/>
      <x:c r="C5" s="109"/>
      <x:c r="D5" s="109"/>
      <x:c r="E5" s="91" t="str">
        <x:f>IF(B5=0,"",MAX(C5,D5)/B5)</x:f>
      </x:c>
      <x:c r="F5" s="76" t="str">
        <x:f>IF(E5="","PENDING",IF(E5&lt;=40%,"PASS","FAIL"))</x:f>
        <x:v>PENDING</x:v>
      </x:c>
      <x:c r="G5" s="109"/>
    </x:row>
    <x:row r="6" ht="42" customHeight="1">
      <x:c r="A6" s="76" t="str">
        <x:v>Priority + rationale</x:v>
      </x:c>
      <x:c r="B6" s="109"/>
      <x:c r="C6" s="109"/>
      <x:c r="D6" s="109"/>
      <x:c r="E6" s="91" t="str">
        <x:f>IF(B6=0,"",MAX(C6,D6)/B6)</x:f>
      </x:c>
      <x:c r="F6" s="76" t="str">
        <x:f>IF(E6="","PENDING",IF(E6&lt;=40%,"PASS","FAIL"))</x:f>
        <x:v>PENDING</x:v>
      </x:c>
      <x:c r="G6" s="109"/>
    </x:row>
    <x:row r="7" ht="42" customHeight="1">
      <x:c r="A7" s="76" t="str">
        <x:v>Disposition</x:v>
      </x:c>
      <x:c r="B7" s="109"/>
      <x:c r="C7" s="109"/>
      <x:c r="D7" s="109"/>
      <x:c r="E7" s="91" t="str">
        <x:f>IF(B7=0,"",MAX(C7,D7)/B7)</x:f>
      </x:c>
      <x:c r="F7" s="76" t="str">
        <x:f>IF(E7="","PENDING",IF(E7&lt;=40%,"PASS","FAIL"))</x:f>
        <x:v>PENDING</x:v>
      </x:c>
      <x:c r="G7" s="109"/>
    </x:row>
    <x:row r="8" ht="42" customHeight="1">
      <x:c r="A8" s="76" t="str">
        <x:v>Workflow status</x:v>
      </x:c>
      <x:c r="B8" s="109"/>
      <x:c r="C8" s="109"/>
      <x:c r="D8" s="109"/>
      <x:c r="E8" s="91" t="str">
        <x:f>IF(B8=0,"",MAX(C8,D8)/B8)</x:f>
      </x:c>
      <x:c r="F8" s="76" t="str">
        <x:f>IF(E8="","PENDING",IF(E8&lt;=40%,"PASS","FAIL"))</x:f>
        <x:v>PENDING</x:v>
      </x:c>
      <x:c r="G8" s="109"/>
    </x:row>
    <x:row r="9" ht="42" customHeight="1">
      <x:c r="A9" s="76" t="str">
        <x:v>THE MOVE</x:v>
      </x:c>
      <x:c r="B9" s="109"/>
      <x:c r="C9" s="109"/>
      <x:c r="D9" s="109"/>
      <x:c r="E9" s="91" t="str">
        <x:f>IF(B9=0,"",MAX(C9,D9)/B9)</x:f>
      </x:c>
      <x:c r="F9" s="76" t="str">
        <x:f>IF(E9="","PENDING",IF(E9&lt;=40%,"PASS","FAIL"))</x:f>
        <x:v>PENDING</x:v>
      </x:c>
      <x:c r="G9" s="109"/>
    </x:row>
    <x:row r="10" ht="42" customHeight="1">
      <x:c r="A10" s="76" t="str">
        <x:v>Review trigger</x:v>
      </x:c>
      <x:c r="B10" s="109"/>
      <x:c r="C10" s="109"/>
      <x:c r="D10" s="109"/>
      <x:c r="E10" s="91" t="str">
        <x:f>IF(B10=0,"",MAX(C10,D10)/B10)</x:f>
      </x:c>
      <x:c r="F10" s="76" t="str">
        <x:f>IF(E10="","PENDING",IF(E10&lt;=40%,"PASS","FAIL"))</x:f>
        <x:v>PENDING</x:v>
      </x:c>
      <x:c r="G10" s="109"/>
    </x:row>
    <x:row r="11" ht="42" customHeight="1">
      <x:c r="A11" s="76" t="str">
        <x:v>Uncertainties / limitations</x:v>
      </x:c>
      <x:c r="B11" s="109"/>
      <x:c r="C11" s="109"/>
      <x:c r="D11" s="109"/>
      <x:c r="E11" s="91" t="str">
        <x:f>IF(B11=0,"",MAX(C11,D11)/B11)</x:f>
      </x:c>
      <x:c r="F11" s="76" t="str">
        <x:f>IF(E11="","PENDING",IF(E11&lt;=40%,"PASS","FAIL"))</x:f>
        <x:v>PENDING</x:v>
      </x:c>
      <x:c r="G11" s="109"/>
    </x:row>
  </x:sheetData>
  <x:conditionalFormatting sqref="F2:F11">
    <x:cfRule type="containsText" dxfId="3" priority="1" operator="containsText" text="PASS"/>
    <x:cfRule type="containsText" dxfId="4" priority="2" operator="containsText" text="FAIL"/>
    <x:cfRule type="containsText" dxfId="5" priority="3" operator="containsText" text="PENDING"/>
    <x:cfRule type="containsText" dxfId="6" priority="4" operator="containsText" text="VALIDATE"/>
  </x:conditionalFormatting>
  <x:pageMargins left="0.7" right="0.7" top="0.75" bottom="0.75" header="0.3" footer="0.3"/>
  <x:tableParts count="1">
    <x:tablePart xmlns:r="http://schemas.openxmlformats.org/officeDocument/2006/relationships" r:id="Rc53c9fa6a5f947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6" hidden="0" customWidth="1"/>
    <x:col min="3" max="3" width="46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117" t="str">
        <x:v>Transparent decision rubrics</x:v>
      </x:c>
      <x:c r="B1" s="117"/>
      <x:c r="C1" s="117"/>
      <x:c r="D1" s="117"/>
      <x:c r="E1" s="117"/>
      <x:c r="F1" s="117"/>
    </x:row>
    <x:row r="2">
      <x:c r="A2" s="117"/>
      <x:c r="B2" s="117"/>
      <x:c r="C2" s="117"/>
      <x:c r="D2" s="117"/>
      <x:c r="E2" s="117"/>
      <x:c r="F2" s="117"/>
    </x:row>
    <x:row r="3" ht="15" hidden="0" customHeight="1">
      <x:c r="A3" s="76"/>
      <x:c r="B3" s="76"/>
      <x:c r="C3" s="76"/>
      <x:c r="D3" s="76"/>
      <x:c r="E3" s="76"/>
      <x:c r="F3" s="76"/>
    </x:row>
    <x:row r="4" ht="15" hidden="0" customHeight="1">
      <x:c r="A4" s="126" t="str">
        <x:v>Evidence quality — claim-specific, never an AI confidence score</x:v>
      </x:c>
      <x:c r="B4" s="126"/>
      <x:c r="C4" s="126"/>
      <x:c r="D4" s="126"/>
      <x:c r="E4" s="126"/>
      <x:c r="F4" s="126"/>
    </x:row>
    <x:row r="5" ht="15" hidden="0" customHeight="1">
      <x:c r="A5" s="120" t="str">
        <x:v>Category</x:v>
      </x:c>
      <x:c r="B5" s="123" t="str">
        <x:v>Deterministic rule</x:v>
      </x:c>
      <x:c r="C5" s="121" t="str">
        <x:v>Never means</x:v>
      </x:c>
      <x:c r="D5" s="76"/>
      <x:c r="E5" s="76"/>
      <x:c r="F5" s="76"/>
    </x:row>
    <x:row r="6" ht="26.399999618530273" hidden="0" customHeight="1">
      <x:c r="A6" s="76" t="str">
        <x:v>HIGH</x:v>
      </x:c>
      <x:c r="B6" s="76" t="str">
        <x:v>Direct competent evidence; inspectable enough; corroborated or directly verifiable event; no central unresolved contradiction; current enough.</x:v>
      </x:c>
      <x:c r="C6" s="76" t="str">
        <x:v>Important, certain in every context, or ready to adopt.</x:v>
      </x:c>
      <x:c r="D6" s="76"/>
      <x:c r="E6" s="76"/>
      <x:c r="F6" s="76"/>
    </x:row>
    <x:row r="7" ht="26.399999618530273" hidden="0" customHeight="1">
      <x:c r="A7" s="76" t="str">
        <x:v>MEDIUM</x:v>
      </x:c>
      <x:c r="B7" s="76" t="str">
        <x:v>Plausible and relevant, with one material limitation: single chain, indirect scope, partial method, mixed findings or transferability gap.</x:v>
      </x:c>
      <x:c r="C7" s="76" t="str">
        <x:v>50% confidence.</x:v>
      </x:c>
      <x:c r="D7" s="76"/>
      <x:c r="E7" s="76"/>
      <x:c r="F7" s="76"/>
    </x:row>
    <x:row r="8" ht="15" hidden="0" customHeight="1">
      <x:c r="A8" s="76" t="str">
        <x:v>LOW</x:v>
      </x:c>
      <x:c r="B8" s="76" t="str">
        <x:v>Unverifiable/indirect/opaque/stale evidence or credible unresolved contradiction attacks the central claim.</x:v>
      </x:c>
      <x:c r="C8" s="76" t="str">
        <x:v>False or unimportant.</x:v>
      </x:c>
      <x:c r="D8" s="76"/>
      <x:c r="E8" s="76"/>
      <x:c r="F8" s="76"/>
    </x:row>
    <x:row r="9" ht="15" hidden="0" customHeight="1">
      <x:c r="A9" s="76"/>
      <x:c r="B9" s="76"/>
      <x:c r="C9" s="76"/>
      <x:c r="D9" s="76"/>
      <x:c r="E9" s="76"/>
      <x:c r="F9" s="76"/>
    </x:row>
    <x:row r="10" ht="15" hidden="0" customHeight="1">
      <x:c r="A10" s="126" t="str">
        <x:v>Priority — review order, not truth or abstract importance</x:v>
      </x:c>
      <x:c r="B10" s="126"/>
      <x:c r="C10" s="126"/>
      <x:c r="D10" s="126"/>
      <x:c r="E10" s="126"/>
      <x:c r="F10" s="126"/>
    </x:row>
    <x:row r="11" ht="15" hidden="0" customHeight="1">
      <x:c r="A11" s="120" t="str">
        <x:v>Category</x:v>
      </x:c>
      <x:c r="B11" s="123" t="str">
        <x:v>Rule</x:v>
      </x:c>
      <x:c r="C11" s="121" t="str">
        <x:v>Default response</x:v>
      </x:c>
      <x:c r="D11" s="76"/>
      <x:c r="E11" s="76"/>
      <x:c r="F11" s="76"/>
    </x:row>
    <x:row r="12" ht="26.399999618530273" hidden="0" customHeight="1">
      <x:c r="A12" s="76" t="str">
        <x:v>P1</x:v>
      </x:c>
      <x:c r="B12" s="76" t="str">
        <x:v>Material change + active implication + decision window or bounded action + evidence supports at least that response.</x:v>
      </x:c>
      <x:c r="C12" s="76" t="str">
        <x:v>Decide or contain now.</x:v>
      </x:c>
      <x:c r="D12" s="76"/>
      <x:c r="E12" s="76"/>
      <x:c r="F12" s="76"/>
    </x:row>
    <x:row r="13" ht="15" hidden="0" customHeight="1">
      <x:c r="A13" s="76" t="str">
        <x:v>P2</x:v>
      </x:c>
      <x:c r="B13" s="76" t="str">
        <x:v>Credible and relevant, but no immediate window, unclear action or more evidence required.</x:v>
      </x:c>
      <x:c r="C13" s="76" t="str">
        <x:v>Review and monitor.</x:v>
      </x:c>
      <x:c r="D13" s="76"/>
      <x:c r="E13" s="76"/>
      <x:c r="F13" s="76"/>
    </x:row>
    <x:row r="14" ht="15" hidden="0" customHeight="1">
      <x:c r="A14" s="76" t="str">
        <x:v>P3</x:v>
      </x:c>
      <x:c r="B14" s="76" t="str">
        <x:v>Indirect/prospective relevance; no current project decision changes.</x:v>
      </x:c>
      <x:c r="C14" s="76" t="str">
        <x:v>Retain as context.</x:v>
      </x:c>
      <x:c r="D14" s="76"/>
      <x:c r="E14" s="76"/>
      <x:c r="F14" s="76"/>
    </x:row>
    <x:row r="15" ht="15" hidden="0" customHeight="1">
      <x:c r="A15" s="76"/>
      <x:c r="B15" s="76"/>
      <x:c r="C15" s="76"/>
      <x:c r="D15" s="76"/>
      <x:c r="E15" s="76"/>
      <x:c r="F15" s="76"/>
    </x:row>
    <x:row r="16" ht="15" hidden="0" customHeight="1">
      <x:c r="A16" s="126" t="str">
        <x:v>Human disposition and lifecycle</x:v>
      </x:c>
      <x:c r="B16" s="126"/>
      <x:c r="C16" s="126"/>
      <x:c r="D16" s="126"/>
      <x:c r="E16" s="126"/>
      <x:c r="F16" s="126"/>
    </x:row>
    <x:row r="17" ht="15" hidden="0" customHeight="1">
      <x:c r="A17" s="120" t="str">
        <x:v>Disposition</x:v>
      </x:c>
      <x:c r="B17" s="123" t="str">
        <x:v>Meaning</x:v>
      </x:c>
      <x:c r="C17" s="121" t="str">
        <x:v>Constraint</x:v>
      </x:c>
      <x:c r="D17" s="76"/>
      <x:c r="E17" s="76"/>
      <x:c r="F17" s="76"/>
    </x:row>
    <x:row r="18" ht="15" hidden="0" customHeight="1">
      <x:c r="A18" s="76" t="str">
        <x:v>UNDECIDED</x:v>
      </x:c>
      <x:c r="B18" s="76" t="str">
        <x:v>No human decision yet.</x:v>
      </x:c>
      <x:c r="C18" s="76" t="str">
        <x:v>Temporary; P1 cannot drift past its window.</x:v>
      </x:c>
      <x:c r="D18" s="76"/>
      <x:c r="E18" s="76"/>
      <x:c r="F18" s="76"/>
    </x:row>
    <x:row r="19" ht="15" hidden="0" customHeight="1">
      <x:c r="A19" s="76" t="str">
        <x:v>MONITOR</x:v>
      </x:c>
      <x:c r="B19" s="76" t="str">
        <x:v>Wait for meaningful change or stronger evidence.</x:v>
      </x:c>
      <x:c r="C19" s="76" t="str">
        <x:v>Requires named review trigger.</x:v>
      </x:c>
      <x:c r="D19" s="76"/>
      <x:c r="E19" s="76"/>
      <x:c r="F19" s="76"/>
    </x:row>
    <x:row r="20" ht="15" hidden="0" customHeight="1">
      <x:c r="A20" s="76" t="str">
        <x:v>TEST</x:v>
      </x:c>
      <x:c r="B20" s="76" t="str">
        <x:v>Run bounded validation.</x:v>
      </x:c>
      <x:c r="C20" s="76" t="str">
        <x:v>Requires THE MOVE.</x:v>
      </x:c>
      <x:c r="D20" s="76"/>
      <x:c r="E20" s="76"/>
      <x:c r="F20" s="76"/>
    </x:row>
    <x:row r="21" ht="15" hidden="0" customHeight="1">
      <x:c r="A21" s="76" t="str">
        <x:v>ADOPT</x:v>
      </x:c>
      <x:c r="B21" s="76" t="str">
        <x:v>Apply to a project/method.</x:v>
      </x:c>
      <x:c r="C21" s="76" t="str">
        <x:v>Requires evidence-context fit and THE MOVE.</x:v>
      </x:c>
      <x:c r="D21" s="76"/>
      <x:c r="E21" s="76"/>
      <x:c r="F21" s="76"/>
    </x:row>
    <x:row r="22" ht="15" hidden="0" customHeight="1">
      <x:c r="A22" s="76" t="str">
        <x:v>DISMISS</x:v>
      </x:c>
      <x:c r="B22" s="76" t="str">
        <x:v>Deliberately take no further action.</x:v>
      </x:c>
      <x:c r="C22" s="76" t="str">
        <x:v>Requires reason; not accidental ignoring.</x:v>
      </x:c>
      <x:c r="D22" s="76"/>
      <x:c r="E22" s="76"/>
      <x:c r="F22" s="76"/>
    </x:row>
    <x:row r="23" ht="15" hidden="0" customHeight="1">
      <x:c r="A23" s="76"/>
      <x:c r="B23" s="76"/>
      <x:c r="C23" s="76"/>
      <x:c r="D23" s="76"/>
      <x:c r="E23" s="76"/>
      <x:c r="F23" s="76"/>
    </x:row>
    <x:row r="24" ht="15" hidden="0" customHeight="1">
      <x:c r="A24" s="126" t="str">
        <x:v>THE MOVE lint</x:v>
      </x:c>
      <x:c r="B24" s="126"/>
      <x:c r="C24" s="126"/>
      <x:c r="D24" s="126"/>
      <x:c r="E24" s="126"/>
      <x:c r="F24" s="126"/>
    </x:row>
    <x:row r="25" ht="15" hidden="0" customHeight="1">
      <x:c r="A25" s="76" t="str">
        <x:v>Begin with a concrete verb; name object and boundary.</x:v>
      </x:c>
      <x:c r="B25" s="76"/>
      <x:c r="C25" s="76"/>
      <x:c r="D25" s="76"/>
      <x:c r="E25" s="76"/>
      <x:c r="F25" s="76"/>
    </x:row>
    <x:row r="26" ht="15" hidden="0" customHeight="1">
      <x:c r="A26" s="76" t="str">
        <x:v>Use the lowest sufficient rung: verify → compare → pilot → adopt → scale.</x:v>
      </x:c>
      <x:c r="B26" s="76"/>
      <x:c r="C26" s="76"/>
      <x:c r="D26" s="76"/>
      <x:c r="E26" s="76"/>
      <x:c r="F26" s="76"/>
    </x:row>
    <x:row r="27" ht="15" hidden="0" customHeight="1">
      <x:c r="A27" s="76" t="str">
        <x:v>State a result, condition or date that triggers the next decision.</x:v>
      </x:c>
      <x:c r="B27" s="76"/>
      <x:c r="C27" s="76"/>
      <x:c r="D27" s="76"/>
      <x:c r="E27" s="76"/>
      <x:c r="F27" s="76"/>
    </x:row>
    <x:row r="28" ht="15" hidden="0" customHeight="1">
      <x:c r="A28" s="76" t="str">
        <x:v>Do not repeat Why it matters or merely say Read.</x:v>
      </x:c>
      <x:c r="B28" s="76"/>
      <x:c r="C28" s="76"/>
      <x:c r="D28" s="76"/>
      <x:c r="E28" s="76"/>
      <x:c r="F28" s="76"/>
    </x:row>
    <x:row r="29" ht="15" hidden="0" customHeight="1">
      <x:c r="A29" s="76" t="str">
        <x:v>Do not prescribe adoption while transferability is untested.</x:v>
      </x:c>
      <x:c r="B29" s="76"/>
      <x:c r="C29" s="76"/>
      <x:c r="D29" s="76"/>
      <x:c r="E29" s="76"/>
      <x:c r="F29" s="76"/>
    </x:row>
    <x:row r="30" ht="15" hidden="0" customHeight="1">
      <x:c r="A30" s="76" t="str">
        <x:v>AI may draft; only the user confirms the decision and Move.</x:v>
      </x:c>
      <x:c r="B30" s="76"/>
      <x:c r="C30" s="76"/>
      <x:c r="D30" s="76"/>
      <x:c r="E30" s="76"/>
      <x:c r="F30" s="76"/>
    </x:row>
  </x:sheetData>
  <x:mergeCells>
    <x:mergeCell ref="A1:F2"/>
    <x:mergeCell ref="A4:F4"/>
    <x:mergeCell ref="A10:F10"/>
    <x:mergeCell ref="A16:F16"/>
    <x:mergeCell ref="A24:F24"/>
    <x:mergeCell ref="A25:F25"/>
    <x:mergeCell ref="A26:F26"/>
    <x:mergeCell ref="A27:F27"/>
    <x:mergeCell ref="A28:F28"/>
    <x:mergeCell ref="A29:F29"/>
    <x:mergeCell ref="A30:F30"/>
  </x:mergeCells>
  <x:pageMargins left="0.7" right="0.7" top="0.75" bottom="0.75" header="0.3" footer="0.3"/>
</x:worksheet>
</file>